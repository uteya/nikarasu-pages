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月次" sheetId="1" state="visible" r:id="rId1"/>
    <sheet xmlns:r="http://schemas.openxmlformats.org/officeDocument/2006/relationships" name="人員計画" sheetId="2" state="visible" r:id="rId2"/>
    <sheet xmlns:r="http://schemas.openxmlformats.org/officeDocument/2006/relationships" name="予実管理" sheetId="3" state="visible" r:id="rId3"/>
    <sheet xmlns:r="http://schemas.openxmlformats.org/officeDocument/2006/relationships" name="KPIツリー" sheetId="4" state="visible" r:id="rId4"/>
    <sheet xmlns:r="http://schemas.openxmlformats.org/officeDocument/2006/relationships" name="CF計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&quot;-&quot;"/>
  </numFmts>
  <fonts count="1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sz val="11"/>
    </font>
    <font>
      <b val="1"/>
    </font>
    <font>
      <color rgb="000000FF"/>
    </font>
    <font>
      <color rgb="00000000"/>
    </font>
    <font>
      <b val="1"/>
      <sz val="12"/>
    </font>
    <font>
      <i val="1"/>
      <color rgb="00888888"/>
    </font>
    <font>
      <color rgb="00008000"/>
    </font>
    <font>
      <b val="1"/>
      <color rgb="00006100"/>
      <sz val="12"/>
    </font>
    <font>
      <b val="1"/>
      <color rgb="00006100"/>
    </font>
    <font>
      <i val="1"/>
      <color rgb="00FF0000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165" fontId="0" fillId="3" borderId="0" pivotButton="0" quotePrefix="0" xfId="0"/>
    <xf numFmtId="0" fontId="5" fillId="0" borderId="0" pivotButton="0" quotePrefix="0" xfId="0"/>
    <xf numFmtId="165" fontId="0" fillId="0" borderId="0" pivotButton="0" quotePrefix="0" xfId="0"/>
    <xf numFmtId="165" fontId="7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0" fontId="8" fillId="4" borderId="0" pivotButton="0" quotePrefix="0" xfId="0"/>
    <xf numFmtId="165" fontId="8" fillId="4" borderId="0" pivotButton="0" quotePrefix="0" xfId="0"/>
    <xf numFmtId="165" fontId="5" fillId="4" borderId="0" pivotButton="0" quotePrefix="0" xfId="0"/>
    <xf numFmtId="0" fontId="9" fillId="0" borderId="0" pivotButton="0" quotePrefix="0" xfId="0"/>
    <xf numFmtId="165" fontId="9" fillId="0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8" fillId="3" borderId="0" pivotButton="0" quotePrefix="0" xfId="0"/>
    <xf numFmtId="165" fontId="10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4" fontId="7" fillId="0" borderId="0" pivotButton="0" quotePrefix="0" xfId="0"/>
    <xf numFmtId="0" fontId="6" fillId="0" borderId="0" pivotButton="0" quotePrefix="0" xfId="0"/>
    <xf numFmtId="9" fontId="6" fillId="6" borderId="0" pivotButton="0" quotePrefix="0" xfId="0"/>
    <xf numFmtId="0" fontId="11" fillId="7" borderId="0" pivotButton="0" quotePrefix="0" xfId="0"/>
    <xf numFmtId="165" fontId="11" fillId="7" borderId="0" pivotButton="0" quotePrefix="0" xfId="0"/>
    <xf numFmtId="165" fontId="12" fillId="7" borderId="0" pivotButton="0" quotePrefix="0" xfId="0"/>
    <xf numFmtId="164" fontId="0" fillId="0" borderId="0" pivotButton="0" quotePrefix="0" xfId="0"/>
    <xf numFmtId="9" fontId="6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6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0" fillId="0" borderId="0" pivotButton="0" quotePrefix="0" xfId="0"/>
    <xf numFmtId="165" fontId="6" fillId="6" borderId="0" pivotButton="0" quotePrefix="0" xfId="0"/>
    <xf numFmtId="0" fontId="13" fillId="0" borderId="0" pivotButton="0" quotePrefix="0" xfId="0"/>
    <xf numFmtId="165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3333"/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にからす 財務モデル v3.0 — P&amp;L月次</t>
        </is>
      </c>
    </row>
    <row r="2">
      <c r="A2" s="2" t="inlineStr">
        <is>
          <t>期間: 2026年3月〜2027年2月（D30年間契約モデル）/ 単位: 万円</t>
        </is>
      </c>
    </row>
    <row r="4">
      <c r="A4" s="3" t="inlineStr"/>
      <c r="B4" s="3" t="inlineStr">
        <is>
          <t>FY通期</t>
        </is>
      </c>
      <c r="C4" s="3" t="inlineStr">
        <is>
          <t>3月</t>
        </is>
      </c>
      <c r="D4" s="3" t="inlineStr">
        <is>
          <t>4月</t>
        </is>
      </c>
      <c r="E4" s="3" t="inlineStr">
        <is>
          <t>5月</t>
        </is>
      </c>
      <c r="F4" s="3" t="inlineStr">
        <is>
          <t>6月</t>
        </is>
      </c>
      <c r="G4" s="3" t="inlineStr">
        <is>
          <t>7月</t>
        </is>
      </c>
      <c r="H4" s="3" t="inlineStr">
        <is>
          <t>8月</t>
        </is>
      </c>
      <c r="I4" s="3" t="inlineStr">
        <is>
          <t>9月</t>
        </is>
      </c>
      <c r="J4" s="3" t="inlineStr">
        <is>
          <t>10月</t>
        </is>
      </c>
      <c r="K4" s="3" t="inlineStr">
        <is>
          <t>11月</t>
        </is>
      </c>
      <c r="L4" s="3" t="inlineStr">
        <is>
          <t>12月</t>
        </is>
      </c>
      <c r="M4" s="3" t="inlineStr">
        <is>
          <t>1月</t>
        </is>
      </c>
      <c r="N4" s="3" t="inlineStr">
        <is>
          <t>2月</t>
        </is>
      </c>
    </row>
    <row r="6">
      <c r="A6" s="4" t="inlineStr">
        <is>
          <t>【A】売上前提（青=入力セル）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inlineStr">
        <is>
          <t>① 既存コンサル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t="inlineStr">
        <is>
          <t xml:space="preserve">  クライアント数（社）</t>
        </is>
      </c>
      <c r="B8" s="8">
        <f>SUM(C8:N8)</f>
        <v/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</row>
    <row r="9">
      <c r="A9" t="inlineStr">
        <is>
          <t xml:space="preserve">  平均月額単価（万円/社）</t>
        </is>
      </c>
      <c r="B9" s="8" t="n"/>
      <c r="C9" s="9" t="n">
        <v>92</v>
      </c>
      <c r="D9" s="9" t="n">
        <v>92</v>
      </c>
      <c r="E9" s="9" t="n">
        <v>92</v>
      </c>
      <c r="F9" s="9" t="n">
        <v>92</v>
      </c>
      <c r="G9" s="9" t="n">
        <v>92</v>
      </c>
      <c r="H9" s="9" t="n">
        <v>92</v>
      </c>
      <c r="I9" s="9" t="n">
        <v>92</v>
      </c>
      <c r="J9" s="9" t="n">
        <v>92</v>
      </c>
      <c r="K9" s="9" t="n">
        <v>92</v>
      </c>
      <c r="L9" s="9" t="n">
        <v>92</v>
      </c>
      <c r="M9" s="9" t="n">
        <v>92</v>
      </c>
      <c r="N9" s="9" t="n">
        <v>92</v>
      </c>
    </row>
    <row r="10">
      <c r="A10" s="6" t="inlineStr">
        <is>
          <t xml:space="preserve">  → 既存売上</t>
        </is>
      </c>
      <c r="B10" s="10">
        <f>SUM(C10:N10)</f>
        <v/>
      </c>
      <c r="C10" s="8">
        <f>C8*C9</f>
        <v/>
      </c>
      <c r="D10" s="8">
        <f>D8*D9</f>
        <v/>
      </c>
      <c r="E10" s="8">
        <f>E8*E9</f>
        <v/>
      </c>
      <c r="F10" s="8">
        <f>F8*F9</f>
        <v/>
      </c>
      <c r="G10" s="8">
        <f>G8*G9</f>
        <v/>
      </c>
      <c r="H10" s="8">
        <f>H8*H9</f>
        <v/>
      </c>
      <c r="I10" s="8">
        <f>I8*I9</f>
        <v/>
      </c>
      <c r="J10" s="8">
        <f>J8*J9</f>
        <v/>
      </c>
      <c r="K10" s="8">
        <f>K8*K9</f>
        <v/>
      </c>
      <c r="L10" s="8">
        <f>L8*L9</f>
        <v/>
      </c>
      <c r="M10" s="8">
        <f>M8*M9</f>
        <v/>
      </c>
      <c r="N10" s="8">
        <f>N8*N9</f>
        <v/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6" t="inlineStr">
        <is>
          <t>② AI駆動開発（月額リテーナー）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t="inlineStr">
        <is>
          <t xml:space="preserve">  契約社数（社）</t>
        </is>
      </c>
      <c r="B13" s="7" t="n"/>
      <c r="C13" s="9" t="n">
        <v>1</v>
      </c>
      <c r="D13" s="9" t="n">
        <v>1</v>
      </c>
      <c r="E13" s="9" t="n">
        <v>1</v>
      </c>
      <c r="F13" s="9" t="n">
        <v>3</v>
      </c>
      <c r="G13" s="9" t="n">
        <v>3</v>
      </c>
      <c r="H13" s="9" t="n">
        <v>5</v>
      </c>
      <c r="I13" s="9" t="n">
        <v>5</v>
      </c>
      <c r="J13" s="9" t="n">
        <v>5</v>
      </c>
      <c r="K13" s="9" t="n">
        <v>5</v>
      </c>
      <c r="L13" s="9" t="n">
        <v>5</v>
      </c>
      <c r="M13" s="9" t="n">
        <v>5</v>
      </c>
      <c r="N13" s="9" t="n">
        <v>5</v>
      </c>
    </row>
    <row r="14">
      <c r="A14" t="inlineStr">
        <is>
          <t xml:space="preserve">  月額単価（万円/社）</t>
        </is>
      </c>
      <c r="B14" s="7" t="n"/>
      <c r="C14" s="9" t="n">
        <v>60</v>
      </c>
      <c r="D14" s="9" t="n">
        <v>60</v>
      </c>
      <c r="E14" s="9" t="n">
        <v>60</v>
      </c>
      <c r="F14" s="9" t="n">
        <v>60</v>
      </c>
      <c r="G14" s="9" t="n">
        <v>60</v>
      </c>
      <c r="H14" s="9" t="n">
        <v>60</v>
      </c>
      <c r="I14" s="9" t="n">
        <v>60</v>
      </c>
      <c r="J14" s="9" t="n">
        <v>60</v>
      </c>
      <c r="K14" s="9" t="n">
        <v>60</v>
      </c>
      <c r="L14" s="9" t="n">
        <v>60</v>
      </c>
      <c r="M14" s="9" t="n">
        <v>60</v>
      </c>
      <c r="N14" s="9" t="n">
        <v>60</v>
      </c>
    </row>
    <row r="15">
      <c r="A15" s="6" t="inlineStr">
        <is>
          <t xml:space="preserve">  → AI駆動売上</t>
        </is>
      </c>
      <c r="B15" s="10">
        <f>SUM(C15:N15)</f>
        <v/>
      </c>
      <c r="C15" s="8">
        <f>C13*C14</f>
        <v/>
      </c>
      <c r="D15" s="8">
        <f>D13*D14</f>
        <v/>
      </c>
      <c r="E15" s="8">
        <f>E13*E14</f>
        <v/>
      </c>
      <c r="F15" s="8">
        <f>F13*F14</f>
        <v/>
      </c>
      <c r="G15" s="8">
        <f>G13*G14</f>
        <v/>
      </c>
      <c r="H15" s="8">
        <f>H13*H14</f>
        <v/>
      </c>
      <c r="I15" s="8">
        <f>I13*I14</f>
        <v/>
      </c>
      <c r="J15" s="8">
        <f>J13*J14</f>
        <v/>
      </c>
      <c r="K15" s="8">
        <f>K13*K14</f>
        <v/>
      </c>
      <c r="L15" s="8">
        <f>L13*L14</f>
        <v/>
      </c>
      <c r="M15" s="8">
        <f>M13*M14</f>
        <v/>
      </c>
      <c r="N15" s="8">
        <f>N13*N14</f>
        <v/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6" t="inlineStr">
        <is>
          <t>③ 中小DX（年間契約）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t="inlineStr">
        <is>
          <t xml:space="preserve">  契約社数（社）</t>
        </is>
      </c>
      <c r="B18" s="7" t="n"/>
      <c r="C18" s="9" t="n">
        <v>0</v>
      </c>
      <c r="D18" s="9" t="n">
        <v>0</v>
      </c>
      <c r="E18" s="9" t="n">
        <v>0</v>
      </c>
      <c r="F18" s="9" t="n">
        <v>1</v>
      </c>
      <c r="G18" s="9" t="n">
        <v>2</v>
      </c>
      <c r="H18" s="9" t="n">
        <v>2</v>
      </c>
      <c r="I18" s="9" t="n">
        <v>3</v>
      </c>
      <c r="J18" s="9" t="n">
        <v>4</v>
      </c>
      <c r="K18" s="9" t="n">
        <v>5</v>
      </c>
      <c r="L18" s="9" t="n">
        <v>5</v>
      </c>
      <c r="M18" s="9" t="n">
        <v>5</v>
      </c>
      <c r="N18" s="9" t="n">
        <v>5</v>
      </c>
    </row>
    <row r="19">
      <c r="A19" t="inlineStr">
        <is>
          <t xml:space="preserve">  月額換算単価（万円/社）</t>
        </is>
      </c>
      <c r="B19" s="7" t="n"/>
      <c r="C19" s="9" t="n">
        <v>25</v>
      </c>
      <c r="D19" s="9" t="n">
        <v>25</v>
      </c>
      <c r="E19" s="9" t="n">
        <v>25</v>
      </c>
      <c r="F19" s="9" t="n">
        <v>25</v>
      </c>
      <c r="G19" s="9" t="n">
        <v>25</v>
      </c>
      <c r="H19" s="9" t="n">
        <v>25</v>
      </c>
      <c r="I19" s="9" t="n">
        <v>25</v>
      </c>
      <c r="J19" s="9" t="n">
        <v>25</v>
      </c>
      <c r="K19" s="9" t="n">
        <v>25</v>
      </c>
      <c r="L19" s="9" t="n">
        <v>25</v>
      </c>
      <c r="M19" s="9" t="n">
        <v>25</v>
      </c>
      <c r="N19" s="9" t="n">
        <v>25</v>
      </c>
    </row>
    <row r="20">
      <c r="A20" s="6" t="inlineStr">
        <is>
          <t xml:space="preserve">  → 中小DX売上</t>
        </is>
      </c>
      <c r="B20" s="10">
        <f>SUM(C20:N20)</f>
        <v/>
      </c>
      <c r="C20" s="8">
        <f>C18*C19</f>
        <v/>
      </c>
      <c r="D20" s="8">
        <f>D18*D19</f>
        <v/>
      </c>
      <c r="E20" s="8">
        <f>E18*E19</f>
        <v/>
      </c>
      <c r="F20" s="8">
        <f>F18*F19</f>
        <v/>
      </c>
      <c r="G20" s="8">
        <f>G18*G19</f>
        <v/>
      </c>
      <c r="H20" s="8">
        <f>H18*H19</f>
        <v/>
      </c>
      <c r="I20" s="8">
        <f>I18*I19</f>
        <v/>
      </c>
      <c r="J20" s="8">
        <f>J18*J19</f>
        <v/>
      </c>
      <c r="K20" s="8">
        <f>K18*K19</f>
        <v/>
      </c>
      <c r="L20" s="8">
        <f>L18*L19</f>
        <v/>
      </c>
      <c r="M20" s="8">
        <f>M18*M19</f>
        <v/>
      </c>
      <c r="N20" s="8">
        <f>N18*N19</f>
        <v/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6" t="inlineStr">
        <is>
          <t>④ Physical AI（年間契約）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t="inlineStr">
        <is>
          <t xml:space="preserve">  契約社数（社）</t>
        </is>
      </c>
      <c r="B23" s="7" t="n"/>
      <c r="C23" s="9" t="n">
        <v>0</v>
      </c>
      <c r="D23" s="9" t="n">
        <v>0</v>
      </c>
      <c r="E23" s="9" t="n">
        <v>0</v>
      </c>
      <c r="F23" s="9" t="n">
        <v>0</v>
      </c>
      <c r="G23" s="9" t="n">
        <v>1</v>
      </c>
      <c r="H23" s="9" t="n">
        <v>1</v>
      </c>
      <c r="I23" s="9" t="n">
        <v>1</v>
      </c>
      <c r="J23" s="9" t="n">
        <v>2</v>
      </c>
      <c r="K23" s="9" t="n">
        <v>2</v>
      </c>
      <c r="L23" s="9" t="n">
        <v>3</v>
      </c>
      <c r="M23" s="9" t="n">
        <v>3</v>
      </c>
      <c r="N23" s="9" t="n">
        <v>3</v>
      </c>
    </row>
    <row r="24">
      <c r="A24" t="inlineStr">
        <is>
          <t xml:space="preserve">  月額換算単価（万円/社）</t>
        </is>
      </c>
      <c r="B24" s="7" t="n"/>
      <c r="C24" s="9" t="n">
        <v>42</v>
      </c>
      <c r="D24" s="9" t="n">
        <v>42</v>
      </c>
      <c r="E24" s="9" t="n">
        <v>42</v>
      </c>
      <c r="F24" s="9" t="n">
        <v>42</v>
      </c>
      <c r="G24" s="9" t="n">
        <v>42</v>
      </c>
      <c r="H24" s="9" t="n">
        <v>42</v>
      </c>
      <c r="I24" s="9" t="n">
        <v>42</v>
      </c>
      <c r="J24" s="9" t="n">
        <v>42</v>
      </c>
      <c r="K24" s="9" t="n">
        <v>42</v>
      </c>
      <c r="L24" s="9" t="n">
        <v>42</v>
      </c>
      <c r="M24" s="9" t="n">
        <v>42</v>
      </c>
      <c r="N24" s="9" t="n">
        <v>42</v>
      </c>
    </row>
    <row r="25">
      <c r="A25" s="6" t="inlineStr">
        <is>
          <t xml:space="preserve">  → Physical AI売上</t>
        </is>
      </c>
      <c r="B25" s="10">
        <f>SUM(C25:N25)</f>
        <v/>
      </c>
      <c r="C25" s="8">
        <f>C23*C24</f>
        <v/>
      </c>
      <c r="D25" s="8">
        <f>D23*D24</f>
        <v/>
      </c>
      <c r="E25" s="8">
        <f>E23*E24</f>
        <v/>
      </c>
      <c r="F25" s="8">
        <f>F23*F24</f>
        <v/>
      </c>
      <c r="G25" s="8">
        <f>G23*G24</f>
        <v/>
      </c>
      <c r="H25" s="8">
        <f>H23*H24</f>
        <v/>
      </c>
      <c r="I25" s="8">
        <f>I23*I24</f>
        <v/>
      </c>
      <c r="J25" s="8">
        <f>J23*J24</f>
        <v/>
      </c>
      <c r="K25" s="8">
        <f>K23*K24</f>
        <v/>
      </c>
      <c r="L25" s="8">
        <f>L23*L24</f>
        <v/>
      </c>
      <c r="M25" s="8">
        <f>M23*M24</f>
        <v/>
      </c>
      <c r="N25" s="8">
        <f>N23*N24</f>
        <v/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6" t="inlineStr">
        <is>
          <t>⑤ プロダクト（WazaAI年間契約）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t="inlineStr">
        <is>
          <t xml:space="preserve">  契約社数（社）</t>
        </is>
      </c>
      <c r="B28" s="7" t="n"/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1</v>
      </c>
      <c r="K28" s="9" t="n">
        <v>1</v>
      </c>
      <c r="L28" s="9" t="n">
        <v>2</v>
      </c>
      <c r="M28" s="9" t="n">
        <v>2</v>
      </c>
      <c r="N28" s="9" t="n">
        <v>2</v>
      </c>
    </row>
    <row r="29">
      <c r="A29" t="inlineStr">
        <is>
          <t xml:space="preserve">  月額換算単価（万円/社）</t>
        </is>
      </c>
      <c r="B29" s="7" t="n"/>
      <c r="C29" s="9" t="n">
        <v>25</v>
      </c>
      <c r="D29" s="9" t="n">
        <v>25</v>
      </c>
      <c r="E29" s="9" t="n">
        <v>25</v>
      </c>
      <c r="F29" s="9" t="n">
        <v>25</v>
      </c>
      <c r="G29" s="9" t="n">
        <v>25</v>
      </c>
      <c r="H29" s="9" t="n">
        <v>25</v>
      </c>
      <c r="I29" s="9" t="n">
        <v>25</v>
      </c>
      <c r="J29" s="9" t="n">
        <v>25</v>
      </c>
      <c r="K29" s="9" t="n">
        <v>25</v>
      </c>
      <c r="L29" s="9" t="n">
        <v>25</v>
      </c>
      <c r="M29" s="9" t="n">
        <v>25</v>
      </c>
      <c r="N29" s="9" t="n">
        <v>25</v>
      </c>
    </row>
    <row r="30">
      <c r="A30" s="6" t="inlineStr">
        <is>
          <t xml:space="preserve">  → プロダクト売上</t>
        </is>
      </c>
      <c r="B30" s="10">
        <f>SUM(C30:N30)</f>
        <v/>
      </c>
      <c r="C30" s="8">
        <f>C28*C29</f>
        <v/>
      </c>
      <c r="D30" s="8">
        <f>D28*D29</f>
        <v/>
      </c>
      <c r="E30" s="8">
        <f>E28*E29</f>
        <v/>
      </c>
      <c r="F30" s="8">
        <f>F28*F29</f>
        <v/>
      </c>
      <c r="G30" s="8">
        <f>G28*G29</f>
        <v/>
      </c>
      <c r="H30" s="8">
        <f>H28*H29</f>
        <v/>
      </c>
      <c r="I30" s="8">
        <f>I28*I29</f>
        <v/>
      </c>
      <c r="J30" s="8">
        <f>J28*J29</f>
        <v/>
      </c>
      <c r="K30" s="8">
        <f>K28*K29</f>
        <v/>
      </c>
      <c r="L30" s="8">
        <f>L28*L29</f>
        <v/>
      </c>
      <c r="M30" s="8">
        <f>M28*M29</f>
        <v/>
      </c>
      <c r="N30" s="8">
        <f>N28*N29</f>
        <v/>
      </c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11" t="inlineStr">
        <is>
          <t>【売上合計】</t>
        </is>
      </c>
      <c r="B32" s="12">
        <f>SUM(C32:N32)</f>
        <v/>
      </c>
      <c r="C32" s="13">
        <f>C10+C15+C20+C25+C30</f>
        <v/>
      </c>
      <c r="D32" s="13">
        <f>D10+D15+D20+D25+D30</f>
        <v/>
      </c>
      <c r="E32" s="13">
        <f>E10+E15+E20+E25+E30</f>
        <v/>
      </c>
      <c r="F32" s="13">
        <f>F10+F15+F20+F25+F30</f>
        <v/>
      </c>
      <c r="G32" s="13">
        <f>G10+G15+G20+G25+G30</f>
        <v/>
      </c>
      <c r="H32" s="13">
        <f>H10+H15+H20+H25+H30</f>
        <v/>
      </c>
      <c r="I32" s="13">
        <f>I10+I15+I20+I25+I30</f>
        <v/>
      </c>
      <c r="J32" s="13">
        <f>J10+J15+J20+J25+J30</f>
        <v/>
      </c>
      <c r="K32" s="13">
        <f>K10+K15+K20+K25+K30</f>
        <v/>
      </c>
      <c r="L32" s="13">
        <f>L10+L15+L20+L25+L30</f>
        <v/>
      </c>
      <c r="M32" s="13">
        <f>M10+M15+M20+M25+M30</f>
        <v/>
      </c>
      <c r="N32" s="13">
        <f>N10+N15+N20+N25+N30</f>
        <v/>
      </c>
    </row>
    <row r="33">
      <c r="A33" s="14" t="inlineStr">
        <is>
          <t xml:space="preserve">  （参考）D6四半期目標</t>
        </is>
      </c>
      <c r="B33" s="15" t="inlineStr">
        <is>
          <t>目標: 12,720</t>
        </is>
      </c>
      <c r="C33" s="15" t="inlineStr">
        <is>
          <t>Q1: 1,560</t>
        </is>
      </c>
      <c r="D33" s="7" t="n"/>
      <c r="E33" s="7" t="n"/>
      <c r="F33" s="15" t="inlineStr">
        <is>
          <t>Q2: 2,830</t>
        </is>
      </c>
      <c r="G33" s="7" t="n"/>
      <c r="H33" s="7" t="n"/>
      <c r="I33" s="15" t="inlineStr">
        <is>
          <t>Q3: 3,560</t>
        </is>
      </c>
      <c r="J33" s="7" t="n"/>
      <c r="K33" s="7" t="n"/>
      <c r="L33" s="15" t="inlineStr">
        <is>
          <t>Q4: 4,770</t>
        </is>
      </c>
      <c r="M33" s="7" t="n"/>
      <c r="N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4" t="inlineStr">
        <is>
          <t>【B】コスト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16" t="inlineStr">
        <is>
          <t>小竹報酬（役員）</t>
        </is>
      </c>
      <c r="B36" s="7">
        <f>SUM(C36:N36)</f>
        <v/>
      </c>
      <c r="C36" s="9" t="n">
        <v>60</v>
      </c>
      <c r="D36" s="9" t="n">
        <v>60</v>
      </c>
      <c r="E36" s="9" t="n">
        <v>60</v>
      </c>
      <c r="F36" s="9" t="n">
        <v>60</v>
      </c>
      <c r="G36" s="9" t="n">
        <v>60</v>
      </c>
      <c r="H36" s="9" t="n">
        <v>60</v>
      </c>
      <c r="I36" s="9" t="n">
        <v>60</v>
      </c>
      <c r="J36" s="9" t="n">
        <v>60</v>
      </c>
      <c r="K36" s="9" t="n">
        <v>60</v>
      </c>
      <c r="L36" s="9" t="n">
        <v>60</v>
      </c>
      <c r="M36" s="9" t="n">
        <v>60</v>
      </c>
      <c r="N36" s="9" t="n">
        <v>60</v>
      </c>
    </row>
    <row r="37">
      <c r="A37" s="16" t="inlineStr">
        <is>
          <t>辻井報酬（業務委託・税込）</t>
        </is>
      </c>
      <c r="B37" s="7">
        <f>SUM(C37:N37)</f>
        <v/>
      </c>
      <c r="C37" s="9" t="n">
        <v>82.5</v>
      </c>
      <c r="D37" s="9" t="n">
        <v>82.5</v>
      </c>
      <c r="E37" s="9" t="n">
        <v>82.5</v>
      </c>
      <c r="F37" s="9" t="n">
        <v>82.5</v>
      </c>
      <c r="G37" s="9" t="n">
        <v>82.5</v>
      </c>
      <c r="H37" s="9" t="n">
        <v>82.5</v>
      </c>
      <c r="I37" s="9" t="n">
        <v>82.5</v>
      </c>
      <c r="J37" s="9" t="n">
        <v>82.5</v>
      </c>
      <c r="K37" s="9" t="n">
        <v>82.5</v>
      </c>
      <c r="L37" s="9" t="n">
        <v>82.5</v>
      </c>
      <c r="M37" s="9" t="n">
        <v>82.5</v>
      </c>
      <c r="N37" s="9" t="n">
        <v>82.5</v>
      </c>
    </row>
    <row r="38">
      <c r="A38" s="16" t="inlineStr">
        <is>
          <t>ペリン報酬（業務委託）</t>
        </is>
      </c>
      <c r="B38" s="7">
        <f>SUM(C38:N38)</f>
        <v/>
      </c>
      <c r="C38" s="9" t="n">
        <v>50</v>
      </c>
      <c r="D38" s="9" t="n">
        <v>50</v>
      </c>
      <c r="E38" s="9" t="n">
        <v>50</v>
      </c>
      <c r="F38" s="9" t="n">
        <v>50</v>
      </c>
      <c r="G38" s="9" t="n">
        <v>50</v>
      </c>
      <c r="H38" s="9" t="n">
        <v>50</v>
      </c>
      <c r="I38" s="9" t="n">
        <v>50</v>
      </c>
      <c r="J38" s="9" t="n">
        <v>50</v>
      </c>
      <c r="K38" s="9" t="n">
        <v>50</v>
      </c>
      <c r="L38" s="9" t="n">
        <v>50</v>
      </c>
      <c r="M38" s="9" t="n">
        <v>50</v>
      </c>
      <c r="N38" s="9" t="n">
        <v>50</v>
      </c>
    </row>
    <row r="39">
      <c r="A39" s="16" t="inlineStr">
        <is>
          <t>森（ディプルメントPT・税込）</t>
        </is>
      </c>
      <c r="B39" s="7">
        <f>SUM(C39:N39)</f>
        <v/>
      </c>
      <c r="C39" s="9" t="n">
        <v>115</v>
      </c>
      <c r="D39" s="9" t="n">
        <v>115</v>
      </c>
      <c r="E39" s="9" t="n">
        <v>115</v>
      </c>
      <c r="F39" s="9" t="n">
        <v>115</v>
      </c>
      <c r="G39" s="9" t="n">
        <v>115</v>
      </c>
      <c r="H39" s="9" t="n">
        <v>115</v>
      </c>
      <c r="I39" s="9" t="n">
        <v>115</v>
      </c>
      <c r="J39" s="9" t="n">
        <v>115</v>
      </c>
      <c r="K39" s="9" t="n">
        <v>115</v>
      </c>
      <c r="L39" s="9" t="n">
        <v>115</v>
      </c>
      <c r="M39" s="9" t="n">
        <v>115</v>
      </c>
      <c r="N39" s="9" t="n">
        <v>115</v>
      </c>
    </row>
    <row r="40">
      <c r="A40" s="16" t="inlineStr">
        <is>
          <t>小林（業務委託）</t>
        </is>
      </c>
      <c r="B40" s="7">
        <f>SUM(C40:N40)</f>
        <v/>
      </c>
      <c r="C40" s="9" t="n">
        <v>25</v>
      </c>
      <c r="D40" s="9" t="n">
        <v>25</v>
      </c>
      <c r="E40" s="9" t="n">
        <v>25</v>
      </c>
      <c r="F40" s="9" t="n">
        <v>25</v>
      </c>
      <c r="G40" s="9" t="n">
        <v>25</v>
      </c>
      <c r="H40" s="9" t="n">
        <v>25</v>
      </c>
      <c r="I40" s="9" t="n">
        <v>25</v>
      </c>
      <c r="J40" s="9" t="n">
        <v>25</v>
      </c>
      <c r="K40" s="9" t="n">
        <v>25</v>
      </c>
      <c r="L40" s="9" t="n">
        <v>25</v>
      </c>
      <c r="M40" s="9" t="n">
        <v>25</v>
      </c>
      <c r="N40" s="9" t="n">
        <v>25</v>
      </c>
    </row>
    <row r="41">
      <c r="A41" s="16" t="inlineStr">
        <is>
          <t>その他外注費</t>
        </is>
      </c>
      <c r="B41" s="7">
        <f>SUM(C41:N41)</f>
        <v/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16" t="inlineStr">
        <is>
          <t>社会保険（小竹分）</t>
        </is>
      </c>
      <c r="B43" s="7">
        <f>SUM(C43:N43)</f>
        <v/>
      </c>
      <c r="C43" s="9" t="n">
        <v>14</v>
      </c>
      <c r="D43" s="9" t="n">
        <v>14</v>
      </c>
      <c r="E43" s="9" t="n">
        <v>14</v>
      </c>
      <c r="F43" s="9" t="n">
        <v>14</v>
      </c>
      <c r="G43" s="9" t="n">
        <v>14</v>
      </c>
      <c r="H43" s="9" t="n">
        <v>14</v>
      </c>
      <c r="I43" s="9" t="n">
        <v>14</v>
      </c>
      <c r="J43" s="9" t="n">
        <v>14</v>
      </c>
      <c r="K43" s="9" t="n">
        <v>14</v>
      </c>
      <c r="L43" s="9" t="n">
        <v>14</v>
      </c>
      <c r="M43" s="9" t="n">
        <v>14</v>
      </c>
      <c r="N43" s="9" t="n">
        <v>14</v>
      </c>
    </row>
    <row r="44">
      <c r="A44" s="16" t="inlineStr">
        <is>
          <t>オフィス</t>
        </is>
      </c>
      <c r="B44" s="7">
        <f>SUM(C44:N44)</f>
        <v/>
      </c>
      <c r="C44" s="9" t="n">
        <v>5</v>
      </c>
      <c r="D44" s="9" t="n">
        <v>5</v>
      </c>
      <c r="E44" s="9" t="n">
        <v>5</v>
      </c>
      <c r="F44" s="9" t="n">
        <v>5</v>
      </c>
      <c r="G44" s="9" t="n">
        <v>5</v>
      </c>
      <c r="H44" s="9" t="n">
        <v>5</v>
      </c>
      <c r="I44" s="9" t="n">
        <v>5</v>
      </c>
      <c r="J44" s="9" t="n">
        <v>5</v>
      </c>
      <c r="K44" s="9" t="n">
        <v>5</v>
      </c>
      <c r="L44" s="9" t="n">
        <v>5</v>
      </c>
      <c r="M44" s="9" t="n">
        <v>5</v>
      </c>
      <c r="N44" s="9" t="n">
        <v>5</v>
      </c>
    </row>
    <row r="45">
      <c r="A45" s="16" t="inlineStr">
        <is>
          <t>ツール・サブスク</t>
        </is>
      </c>
      <c r="B45" s="7">
        <f>SUM(C45:N45)</f>
        <v/>
      </c>
      <c r="C45" s="9" t="n">
        <v>5</v>
      </c>
      <c r="D45" s="9" t="n">
        <v>5</v>
      </c>
      <c r="E45" s="9" t="n">
        <v>5</v>
      </c>
      <c r="F45" s="9" t="n">
        <v>5</v>
      </c>
      <c r="G45" s="9" t="n">
        <v>5</v>
      </c>
      <c r="H45" s="9" t="n">
        <v>5</v>
      </c>
      <c r="I45" s="9" t="n">
        <v>5</v>
      </c>
      <c r="J45" s="9" t="n">
        <v>5</v>
      </c>
      <c r="K45" s="9" t="n">
        <v>5</v>
      </c>
      <c r="L45" s="9" t="n">
        <v>5</v>
      </c>
      <c r="M45" s="9" t="n">
        <v>5</v>
      </c>
      <c r="N45" s="9" t="n">
        <v>5</v>
      </c>
    </row>
    <row r="46">
      <c r="A46" s="16" t="inlineStr">
        <is>
          <t>会計・税務（だんちゃん）</t>
        </is>
      </c>
      <c r="B46" s="7">
        <f>SUM(C46:N46)</f>
        <v/>
      </c>
      <c r="C46" s="9" t="n">
        <v>3</v>
      </c>
      <c r="D46" s="9" t="n">
        <v>3</v>
      </c>
      <c r="E46" s="9" t="n">
        <v>3</v>
      </c>
      <c r="F46" s="9" t="n">
        <v>3</v>
      </c>
      <c r="G46" s="9" t="n">
        <v>3</v>
      </c>
      <c r="H46" s="9" t="n">
        <v>3</v>
      </c>
      <c r="I46" s="9" t="n">
        <v>3</v>
      </c>
      <c r="J46" s="9" t="n">
        <v>3</v>
      </c>
      <c r="K46" s="9" t="n">
        <v>3</v>
      </c>
      <c r="L46" s="9" t="n">
        <v>3</v>
      </c>
      <c r="M46" s="9" t="n">
        <v>3</v>
      </c>
      <c r="N46" s="9" t="n">
        <v>3</v>
      </c>
    </row>
    <row r="47">
      <c r="A47" s="16" t="inlineStr">
        <is>
          <t>その他固定費</t>
        </is>
      </c>
      <c r="B47" s="7">
        <f>SUM(C47:N47)</f>
        <v/>
      </c>
      <c r="C47" s="9" t="n">
        <v>2</v>
      </c>
      <c r="D47" s="9" t="n">
        <v>2</v>
      </c>
      <c r="E47" s="9" t="n">
        <v>2</v>
      </c>
      <c r="F47" s="9" t="n">
        <v>2</v>
      </c>
      <c r="G47" s="9" t="n">
        <v>2</v>
      </c>
      <c r="H47" s="9" t="n">
        <v>2</v>
      </c>
      <c r="I47" s="9" t="n">
        <v>2</v>
      </c>
      <c r="J47" s="9" t="n">
        <v>2</v>
      </c>
      <c r="K47" s="9" t="n">
        <v>2</v>
      </c>
      <c r="L47" s="9" t="n">
        <v>2</v>
      </c>
      <c r="M47" s="9" t="n">
        <v>2</v>
      </c>
      <c r="N47" s="9" t="n">
        <v>2</v>
      </c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6" t="inlineStr">
        <is>
          <t>特別支出</t>
        </is>
      </c>
      <c r="B49" s="7">
        <f>SUM(C49:N49)</f>
        <v/>
      </c>
      <c r="C49" s="9" t="n">
        <v>40</v>
      </c>
      <c r="D49" s="9" t="n">
        <v>40</v>
      </c>
      <c r="E49" s="9" t="n">
        <v>40</v>
      </c>
      <c r="F49" s="9" t="n">
        <v>10</v>
      </c>
      <c r="G49" s="9" t="n">
        <v>20</v>
      </c>
      <c r="H49" s="9" t="n">
        <v>0</v>
      </c>
      <c r="I49" s="9" t="n">
        <v>0</v>
      </c>
      <c r="J49" s="9" t="n">
        <v>80</v>
      </c>
      <c r="K49" s="9" t="n">
        <v>0</v>
      </c>
      <c r="L49" s="9" t="n">
        <v>0</v>
      </c>
      <c r="M49" s="9" t="n">
        <v>0</v>
      </c>
      <c r="N49" s="9" t="n">
        <v>0</v>
      </c>
    </row>
    <row r="50">
      <c r="A50" s="16" t="inlineStr">
        <is>
          <t>変動費（交通・出張等）</t>
        </is>
      </c>
      <c r="B50" s="7">
        <f>SUM(C50:N50)</f>
        <v/>
      </c>
      <c r="C50" s="9" t="n">
        <v>8</v>
      </c>
      <c r="D50" s="9" t="n">
        <v>8</v>
      </c>
      <c r="E50" s="9" t="n">
        <v>8</v>
      </c>
      <c r="F50" s="9" t="n">
        <v>8</v>
      </c>
      <c r="G50" s="9" t="n">
        <v>8</v>
      </c>
      <c r="H50" s="9" t="n">
        <v>8</v>
      </c>
      <c r="I50" s="9" t="n">
        <v>8</v>
      </c>
      <c r="J50" s="9" t="n">
        <v>8</v>
      </c>
      <c r="K50" s="9" t="n">
        <v>8</v>
      </c>
      <c r="L50" s="9" t="n">
        <v>8</v>
      </c>
      <c r="M50" s="9" t="n">
        <v>8</v>
      </c>
      <c r="N50" s="9" t="n">
        <v>8</v>
      </c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17" t="inlineStr">
        <is>
          <t>【コスト合計】</t>
        </is>
      </c>
      <c r="B52" s="18">
        <f>SUM(C52:N52)</f>
        <v/>
      </c>
      <c r="C52" s="18">
        <f>SUM(C36:C41)+SUM(C43:C47)+C49+C50</f>
        <v/>
      </c>
      <c r="D52" s="18">
        <f>SUM(D36:D41)+SUM(D43:D47)+D49+D50</f>
        <v/>
      </c>
      <c r="E52" s="18">
        <f>SUM(E36:E41)+SUM(E43:E47)+E49+E50</f>
        <v/>
      </c>
      <c r="F52" s="18">
        <f>SUM(F36:F41)+SUM(F43:F47)+F49+F50</f>
        <v/>
      </c>
      <c r="G52" s="18">
        <f>SUM(G36:G41)+SUM(G43:G47)+G49+G50</f>
        <v/>
      </c>
      <c r="H52" s="18">
        <f>SUM(H36:H41)+SUM(H43:H47)+H49+H50</f>
        <v/>
      </c>
      <c r="I52" s="18">
        <f>SUM(I36:I41)+SUM(I43:I47)+I49+I50</f>
        <v/>
      </c>
      <c r="J52" s="18">
        <f>SUM(J36:J41)+SUM(J43:J47)+J49+J50</f>
        <v/>
      </c>
      <c r="K52" s="18">
        <f>SUM(K36:K41)+SUM(K43:K47)+K49+K50</f>
        <v/>
      </c>
      <c r="L52" s="18">
        <f>SUM(L36:L41)+SUM(L43:L47)+L49+L50</f>
        <v/>
      </c>
      <c r="M52" s="18">
        <f>SUM(M36:M41)+SUM(M43:M47)+M49+M50</f>
        <v/>
      </c>
      <c r="N52" s="18">
        <f>SUM(N36:N41)+SUM(N43:N47)+N49+N50</f>
        <v/>
      </c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19" t="inlineStr">
        <is>
          <t>【P&amp;L サマリー】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inlineStr">
        <is>
          <t>売上合計</t>
        </is>
      </c>
      <c r="B55" s="7">
        <f>SUM(C55:N55)</f>
        <v/>
      </c>
      <c r="C55" s="20">
        <f>C32</f>
        <v/>
      </c>
      <c r="D55" s="20">
        <f>D32</f>
        <v/>
      </c>
      <c r="E55" s="20">
        <f>E32</f>
        <v/>
      </c>
      <c r="F55" s="20">
        <f>F32</f>
        <v/>
      </c>
      <c r="G55" s="20">
        <f>G32</f>
        <v/>
      </c>
      <c r="H55" s="20">
        <f>H32</f>
        <v/>
      </c>
      <c r="I55" s="20">
        <f>I32</f>
        <v/>
      </c>
      <c r="J55" s="20">
        <f>J32</f>
        <v/>
      </c>
      <c r="K55" s="20">
        <f>K32</f>
        <v/>
      </c>
      <c r="L55" s="20">
        <f>L32</f>
        <v/>
      </c>
      <c r="M55" s="20">
        <f>M32</f>
        <v/>
      </c>
      <c r="N55" s="20">
        <f>N32</f>
        <v/>
      </c>
    </row>
    <row r="56">
      <c r="A56" s="6" t="inlineStr">
        <is>
          <t>コスト合計</t>
        </is>
      </c>
      <c r="B56" s="7">
        <f>SUM(C56:N56)</f>
        <v/>
      </c>
      <c r="C56" s="20">
        <f>C52</f>
        <v/>
      </c>
      <c r="D56" s="20">
        <f>D52</f>
        <v/>
      </c>
      <c r="E56" s="20">
        <f>E52</f>
        <v/>
      </c>
      <c r="F56" s="20">
        <f>F52</f>
        <v/>
      </c>
      <c r="G56" s="20">
        <f>G52</f>
        <v/>
      </c>
      <c r="H56" s="20">
        <f>H52</f>
        <v/>
      </c>
      <c r="I56" s="20">
        <f>I52</f>
        <v/>
      </c>
      <c r="J56" s="20">
        <f>J52</f>
        <v/>
      </c>
      <c r="K56" s="20">
        <f>K52</f>
        <v/>
      </c>
      <c r="L56" s="20">
        <f>L52</f>
        <v/>
      </c>
      <c r="M56" s="20">
        <f>M52</f>
        <v/>
      </c>
      <c r="N56" s="20">
        <f>N52</f>
        <v/>
      </c>
    </row>
    <row r="57">
      <c r="A57" s="21" t="inlineStr">
        <is>
          <t>EBITDA（営業利益）</t>
        </is>
      </c>
      <c r="B57" s="22">
        <f>SUM(C57:N57)</f>
        <v/>
      </c>
      <c r="C57" s="10">
        <f>C55-C56</f>
        <v/>
      </c>
      <c r="D57" s="10">
        <f>D55-D56</f>
        <v/>
      </c>
      <c r="E57" s="10">
        <f>E55-E56</f>
        <v/>
      </c>
      <c r="F57" s="10">
        <f>F55-F56</f>
        <v/>
      </c>
      <c r="G57" s="10">
        <f>G55-G56</f>
        <v/>
      </c>
      <c r="H57" s="10">
        <f>H55-H56</f>
        <v/>
      </c>
      <c r="I57" s="10">
        <f>I55-I56</f>
        <v/>
      </c>
      <c r="J57" s="10">
        <f>J55-J56</f>
        <v/>
      </c>
      <c r="K57" s="10">
        <f>K55-K56</f>
        <v/>
      </c>
      <c r="L57" s="10">
        <f>L55-L56</f>
        <v/>
      </c>
      <c r="M57" s="10">
        <f>M55-M56</f>
        <v/>
      </c>
      <c r="N57" s="10">
        <f>N55-N56</f>
        <v/>
      </c>
    </row>
    <row r="58">
      <c r="A58" s="16" t="inlineStr">
        <is>
          <t>EBITDA率</t>
        </is>
      </c>
      <c r="B58" s="23">
        <f>IFERROR(B57/B55,0)</f>
        <v/>
      </c>
      <c r="C58" s="23">
        <f>IFERROR(C57/C55,0)</f>
        <v/>
      </c>
      <c r="D58" s="23">
        <f>IFERROR(D57/D55,0)</f>
        <v/>
      </c>
      <c r="E58" s="23">
        <f>IFERROR(E57/E55,0)</f>
        <v/>
      </c>
      <c r="F58" s="23">
        <f>IFERROR(F57/F55,0)</f>
        <v/>
      </c>
      <c r="G58" s="23">
        <f>IFERROR(G57/G55,0)</f>
        <v/>
      </c>
      <c r="H58" s="23">
        <f>IFERROR(H57/H55,0)</f>
        <v/>
      </c>
      <c r="I58" s="23">
        <f>IFERROR(I57/I55,0)</f>
        <v/>
      </c>
      <c r="J58" s="23">
        <f>IFERROR(J57/J55,0)</f>
        <v/>
      </c>
      <c r="K58" s="23">
        <f>IFERROR(K57/K55,0)</f>
        <v/>
      </c>
      <c r="L58" s="23">
        <f>IFERROR(L57/L55,0)</f>
        <v/>
      </c>
      <c r="M58" s="23">
        <f>IFERROR(M57/M55,0)</f>
        <v/>
      </c>
      <c r="N58" s="23">
        <f>IFERROR(N57/N55,0)</f>
        <v/>
      </c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24" t="inlineStr">
        <is>
          <t>法人税率（実効）</t>
        </is>
      </c>
      <c r="C60" s="25" t="n">
        <v>0.34</v>
      </c>
    </row>
    <row r="61">
      <c r="A61" s="16" t="inlineStr">
        <is>
          <t>法人税概算</t>
        </is>
      </c>
      <c r="B61" s="7">
        <f>SUM(C61:N61)</f>
        <v/>
      </c>
      <c r="C61" s="8">
        <f>MAX(C57*$C$60,0)</f>
        <v/>
      </c>
      <c r="D61" s="8">
        <f>MAX(D57*$C$60,0)</f>
        <v/>
      </c>
      <c r="E61" s="8">
        <f>MAX(E57*$C$60,0)</f>
        <v/>
      </c>
      <c r="F61" s="8">
        <f>MAX(F57*$C$60,0)</f>
        <v/>
      </c>
      <c r="G61" s="8">
        <f>MAX(G57*$C$60,0)</f>
        <v/>
      </c>
      <c r="H61" s="8">
        <f>MAX(H57*$C$60,0)</f>
        <v/>
      </c>
      <c r="I61" s="8">
        <f>MAX(I57*$C$60,0)</f>
        <v/>
      </c>
      <c r="J61" s="8">
        <f>MAX(J57*$C$60,0)</f>
        <v/>
      </c>
      <c r="K61" s="8">
        <f>MAX(K57*$C$60,0)</f>
        <v/>
      </c>
      <c r="L61" s="8">
        <f>MAX(L57*$C$60,0)</f>
        <v/>
      </c>
      <c r="M61" s="8">
        <f>MAX(M57*$C$60,0)</f>
        <v/>
      </c>
      <c r="N61" s="8">
        <f>MAX(N57*$C$60,0)</f>
        <v/>
      </c>
    </row>
    <row r="62">
      <c r="A62" s="26" t="inlineStr">
        <is>
          <t>当期純利益</t>
        </is>
      </c>
      <c r="B62" s="27">
        <f>SUM(C62:N62)</f>
        <v/>
      </c>
      <c r="C62" s="28">
        <f>C57-C61</f>
        <v/>
      </c>
      <c r="D62" s="28">
        <f>D57-D61</f>
        <v/>
      </c>
      <c r="E62" s="28">
        <f>E57-E61</f>
        <v/>
      </c>
      <c r="F62" s="28">
        <f>F57-F61</f>
        <v/>
      </c>
      <c r="G62" s="28">
        <f>G57-G61</f>
        <v/>
      </c>
      <c r="H62" s="28">
        <f>H57-H61</f>
        <v/>
      </c>
      <c r="I62" s="28">
        <f>I57-I61</f>
        <v/>
      </c>
      <c r="J62" s="28">
        <f>J57-J61</f>
        <v/>
      </c>
      <c r="K62" s="28">
        <f>K57-K61</f>
        <v/>
      </c>
      <c r="L62" s="28">
        <f>L57-L61</f>
        <v/>
      </c>
      <c r="M62" s="28">
        <f>M57-M61</f>
        <v/>
      </c>
      <c r="N62" s="28">
        <f>N57-N61</f>
        <v/>
      </c>
    </row>
    <row r="63">
      <c r="A63" s="16" t="inlineStr">
        <is>
          <t>純利益率</t>
        </is>
      </c>
      <c r="B63" s="29">
        <f>IFERROR(B62/B55,0)</f>
        <v/>
      </c>
      <c r="C63" s="23">
        <f>IFERROR(C62/C55,0)</f>
        <v/>
      </c>
      <c r="D63" s="23">
        <f>IFERROR(D62/D55,0)</f>
        <v/>
      </c>
      <c r="E63" s="23">
        <f>IFERROR(E62/E55,0)</f>
        <v/>
      </c>
      <c r="F63" s="23">
        <f>IFERROR(F62/F55,0)</f>
        <v/>
      </c>
      <c r="G63" s="23">
        <f>IFERROR(G62/G55,0)</f>
        <v/>
      </c>
      <c r="H63" s="23">
        <f>IFERROR(H62/H55,0)</f>
        <v/>
      </c>
      <c r="I63" s="23">
        <f>IFERROR(I62/I55,0)</f>
        <v/>
      </c>
      <c r="J63" s="23">
        <f>IFERROR(J62/J55,0)</f>
        <v/>
      </c>
      <c r="K63" s="23">
        <f>IFERROR(K62/K55,0)</f>
        <v/>
      </c>
      <c r="L63" s="23">
        <f>IFERROR(L62/L55,0)</f>
        <v/>
      </c>
      <c r="M63" s="23">
        <f>IFERROR(M62/M55,0)</f>
        <v/>
      </c>
      <c r="N63" s="23">
        <f>IFERROR(N62/N55,0)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人員計画 — 月次コスト配分</t>
        </is>
      </c>
    </row>
    <row r="3">
      <c r="A3" s="3" t="inlineStr">
        <is>
          <t>氏名/役割</t>
        </is>
      </c>
      <c r="B3" s="3" t="inlineStr">
        <is>
          <t>契約形態</t>
        </is>
      </c>
      <c r="C3" s="3" t="inlineStr">
        <is>
          <t>月額（万円）</t>
        </is>
      </c>
      <c r="D3" s="3" t="inlineStr">
        <is>
          <t>3月</t>
        </is>
      </c>
      <c r="E3" s="3" t="inlineStr">
        <is>
          <t>4月</t>
        </is>
      </c>
      <c r="F3" s="3" t="inlineStr">
        <is>
          <t>5月</t>
        </is>
      </c>
      <c r="G3" s="3" t="inlineStr">
        <is>
          <t>6月</t>
        </is>
      </c>
      <c r="H3" s="3" t="inlineStr">
        <is>
          <t>7月</t>
        </is>
      </c>
      <c r="I3" s="3" t="inlineStr">
        <is>
          <t>8月</t>
        </is>
      </c>
      <c r="J3" s="3" t="inlineStr">
        <is>
          <t>9月</t>
        </is>
      </c>
      <c r="K3" s="3" t="inlineStr">
        <is>
          <t>10月</t>
        </is>
      </c>
      <c r="L3" s="3" t="inlineStr">
        <is>
          <t>11月</t>
        </is>
      </c>
      <c r="M3" s="3" t="inlineStr">
        <is>
          <t>12月</t>
        </is>
      </c>
      <c r="N3" s="3" t="inlineStr">
        <is>
          <t>1月</t>
        </is>
      </c>
      <c r="O3" s="3" t="inlineStr">
        <is>
          <t>2月</t>
        </is>
      </c>
    </row>
    <row r="4">
      <c r="A4" t="inlineStr">
        <is>
          <t>小竹泉里（代表取締役）</t>
        </is>
      </c>
      <c r="B4" t="inlineStr">
        <is>
          <t>役員報酬</t>
        </is>
      </c>
      <c r="C4" s="24" t="n">
        <v>60</v>
      </c>
      <c r="D4" s="30" t="n">
        <v>1</v>
      </c>
      <c r="E4" s="30" t="n">
        <v>1</v>
      </c>
      <c r="F4" s="30" t="n">
        <v>1</v>
      </c>
      <c r="G4" s="30" t="n">
        <v>1</v>
      </c>
      <c r="H4" s="30" t="n">
        <v>1</v>
      </c>
      <c r="I4" s="30" t="n">
        <v>1</v>
      </c>
      <c r="J4" s="30" t="n">
        <v>1</v>
      </c>
      <c r="K4" s="30" t="n">
        <v>1</v>
      </c>
      <c r="L4" s="30" t="n">
        <v>1</v>
      </c>
      <c r="M4" s="30" t="n">
        <v>1</v>
      </c>
      <c r="N4" s="30" t="n">
        <v>1</v>
      </c>
      <c r="O4" s="30" t="n">
        <v>1</v>
      </c>
    </row>
    <row r="5">
      <c r="A5" t="inlineStr">
        <is>
          <t>辻井敦生（CSO）</t>
        </is>
      </c>
      <c r="B5" t="inlineStr">
        <is>
          <t>業務委託</t>
        </is>
      </c>
      <c r="C5" s="24" t="n">
        <v>82.5</v>
      </c>
      <c r="D5" s="30" t="n">
        <v>1</v>
      </c>
      <c r="E5" s="30" t="n">
        <v>1</v>
      </c>
      <c r="F5" s="30" t="n">
        <v>1</v>
      </c>
      <c r="G5" s="30" t="n">
        <v>1</v>
      </c>
      <c r="H5" s="30" t="n">
        <v>1</v>
      </c>
      <c r="I5" s="30" t="n">
        <v>1</v>
      </c>
      <c r="J5" s="30" t="n">
        <v>1</v>
      </c>
      <c r="K5" s="30" t="n">
        <v>1</v>
      </c>
      <c r="L5" s="30" t="n">
        <v>1</v>
      </c>
      <c r="M5" s="30" t="n">
        <v>1</v>
      </c>
      <c r="N5" s="30" t="n">
        <v>1</v>
      </c>
      <c r="O5" s="30" t="n">
        <v>1</v>
      </c>
    </row>
    <row r="6">
      <c r="A6" t="inlineStr">
        <is>
          <t>ペリン（CTO）</t>
        </is>
      </c>
      <c r="B6" t="inlineStr">
        <is>
          <t>業務委託</t>
        </is>
      </c>
      <c r="C6" s="24" t="n">
        <v>50</v>
      </c>
      <c r="D6" s="30" t="n">
        <v>1</v>
      </c>
      <c r="E6" s="30" t="n">
        <v>1</v>
      </c>
      <c r="F6" s="30" t="n">
        <v>1</v>
      </c>
      <c r="G6" s="30" t="n">
        <v>1</v>
      </c>
      <c r="H6" s="30" t="n">
        <v>1</v>
      </c>
      <c r="I6" s="30" t="n">
        <v>1</v>
      </c>
      <c r="J6" s="30" t="n">
        <v>1</v>
      </c>
      <c r="K6" s="30" t="n">
        <v>1</v>
      </c>
      <c r="L6" s="30" t="n">
        <v>1</v>
      </c>
      <c r="M6" s="30" t="n">
        <v>1</v>
      </c>
      <c r="N6" s="30" t="n">
        <v>1</v>
      </c>
      <c r="O6" s="30" t="n">
        <v>1</v>
      </c>
    </row>
    <row r="7">
      <c r="A7" t="inlineStr">
        <is>
          <t>森廣史（PM）</t>
        </is>
      </c>
      <c r="B7" t="inlineStr">
        <is>
          <t>業務委託</t>
        </is>
      </c>
      <c r="C7" s="24" t="n">
        <v>115</v>
      </c>
      <c r="D7" s="30" t="n">
        <v>1</v>
      </c>
      <c r="E7" s="30" t="n">
        <v>1</v>
      </c>
      <c r="F7" s="30" t="n">
        <v>1</v>
      </c>
      <c r="G7" s="30" t="n">
        <v>1</v>
      </c>
      <c r="H7" s="30" t="n">
        <v>1</v>
      </c>
      <c r="I7" s="30" t="n">
        <v>1</v>
      </c>
      <c r="J7" s="30" t="n">
        <v>1</v>
      </c>
      <c r="K7" s="30" t="n">
        <v>1</v>
      </c>
      <c r="L7" s="30" t="n">
        <v>1</v>
      </c>
      <c r="M7" s="30" t="n">
        <v>1</v>
      </c>
      <c r="N7" s="30" t="n">
        <v>1</v>
      </c>
      <c r="O7" s="30" t="n">
        <v>1</v>
      </c>
    </row>
    <row r="8">
      <c r="A8" t="inlineStr">
        <is>
          <t>小林将太</t>
        </is>
      </c>
      <c r="B8" t="inlineStr">
        <is>
          <t>業務委託</t>
        </is>
      </c>
      <c r="C8" s="24" t="n">
        <v>25</v>
      </c>
      <c r="D8" s="30" t="n">
        <v>1</v>
      </c>
      <c r="E8" s="30" t="n">
        <v>1</v>
      </c>
      <c r="F8" s="30" t="n">
        <v>1</v>
      </c>
      <c r="G8" s="30" t="n">
        <v>1</v>
      </c>
      <c r="H8" s="30" t="n">
        <v>1</v>
      </c>
      <c r="I8" s="30" t="n">
        <v>1</v>
      </c>
      <c r="J8" s="30" t="n">
        <v>1</v>
      </c>
      <c r="K8" s="30" t="n">
        <v>1</v>
      </c>
      <c r="L8" s="30" t="n">
        <v>1</v>
      </c>
      <c r="M8" s="30" t="n">
        <v>1</v>
      </c>
      <c r="N8" s="30" t="n">
        <v>1</v>
      </c>
      <c r="O8" s="30" t="n">
        <v>1</v>
      </c>
    </row>
    <row r="9">
      <c r="A9" t="inlineStr">
        <is>
          <t>（Year 2 エンジニア）</t>
        </is>
      </c>
      <c r="B9" t="inlineStr">
        <is>
          <t>正社員（予定）</t>
        </is>
      </c>
      <c r="C9" s="24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0" t="n">
        <v>0</v>
      </c>
      <c r="K9" s="30" t="n">
        <v>0</v>
      </c>
      <c r="L9" s="30" t="n">
        <v>0</v>
      </c>
      <c r="M9" s="30" t="n">
        <v>0</v>
      </c>
      <c r="N9" s="30" t="n">
        <v>0</v>
      </c>
      <c r="O9" s="30" t="n">
        <v>0</v>
      </c>
    </row>
    <row r="10">
      <c r="A10" s="6" t="inlineStr">
        <is>
          <t>人件費合計（万円）</t>
        </is>
      </c>
      <c r="D10" s="6">
        <f>SUMPRODUCT($C$4:$C$9,D4:D9)</f>
        <v/>
      </c>
      <c r="E10" s="6">
        <f>SUMPRODUCT($C$4:$C$9,E4:E9)</f>
        <v/>
      </c>
      <c r="F10" s="6">
        <f>SUMPRODUCT($C$4:$C$9,F4:F9)</f>
        <v/>
      </c>
      <c r="G10" s="6">
        <f>SUMPRODUCT($C$4:$C$9,G4:G9)</f>
        <v/>
      </c>
      <c r="H10" s="6">
        <f>SUMPRODUCT($C$4:$C$9,H4:H9)</f>
        <v/>
      </c>
      <c r="I10" s="6">
        <f>SUMPRODUCT($C$4:$C$9,I4:I9)</f>
        <v/>
      </c>
      <c r="J10" s="6">
        <f>SUMPRODUCT($C$4:$C$9,J4:J9)</f>
        <v/>
      </c>
      <c r="K10" s="6">
        <f>SUMPRODUCT($C$4:$C$9,K4:K9)</f>
        <v/>
      </c>
      <c r="L10" s="6">
        <f>SUMPRODUCT($C$4:$C$9,L4:L9)</f>
        <v/>
      </c>
      <c r="M10" s="6">
        <f>SUMPRODUCT($C$4:$C$9,M4:M9)</f>
        <v/>
      </c>
      <c r="N10" s="6">
        <f>SUMPRODUCT($C$4:$C$9,N4:N9)</f>
        <v/>
      </c>
      <c r="O10" s="6">
        <f>SUMPRODUCT($C$4:$C$9,O4:O9)</f>
        <v/>
      </c>
    </row>
    <row r="12">
      <c r="A12" s="24" t="inlineStr">
        <is>
          <t>社保率（役員報酬に対して）</t>
        </is>
      </c>
      <c r="C12" s="25" t="n">
        <v>0.2</v>
      </c>
    </row>
    <row r="13">
      <c r="A13" t="inlineStr">
        <is>
          <t>社保月額（万円）</t>
        </is>
      </c>
      <c r="D13" s="16">
        <f>$C$4*$C$12*D4</f>
        <v/>
      </c>
      <c r="E13" s="16">
        <f>$C$4*$C$12*E4</f>
        <v/>
      </c>
      <c r="F13" s="16">
        <f>$C$4*$C$12*F4</f>
        <v/>
      </c>
      <c r="G13" s="16">
        <f>$C$4*$C$12*G4</f>
        <v/>
      </c>
      <c r="H13" s="16">
        <f>$C$4*$C$12*H4</f>
        <v/>
      </c>
      <c r="I13" s="16">
        <f>$C$4*$C$12*I4</f>
        <v/>
      </c>
      <c r="J13" s="16">
        <f>$C$4*$C$12*J4</f>
        <v/>
      </c>
      <c r="K13" s="16">
        <f>$C$4*$C$12*K4</f>
        <v/>
      </c>
      <c r="L13" s="16">
        <f>$C$4*$C$12*L4</f>
        <v/>
      </c>
      <c r="M13" s="16">
        <f>$C$4*$C$12*M4</f>
        <v/>
      </c>
      <c r="N13" s="16">
        <f>$C$4*$C$12*N4</f>
        <v/>
      </c>
      <c r="O13" s="16">
        <f>$C$4*$C$12*O4</f>
        <v/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予実管理 — 計画 vs 実績</t>
        </is>
      </c>
    </row>
    <row r="3">
      <c r="A3" s="3" t="inlineStr"/>
      <c r="B3" s="3" t="inlineStr">
        <is>
          <t>FY通期</t>
        </is>
      </c>
      <c r="C3" s="3" t="inlineStr">
        <is>
          <t>3月</t>
        </is>
      </c>
      <c r="D3" s="3" t="inlineStr">
        <is>
          <t>4月</t>
        </is>
      </c>
      <c r="E3" s="3" t="inlineStr">
        <is>
          <t>5月</t>
        </is>
      </c>
      <c r="F3" s="3" t="inlineStr">
        <is>
          <t>6月</t>
        </is>
      </c>
      <c r="G3" s="3" t="inlineStr">
        <is>
          <t>7月</t>
        </is>
      </c>
      <c r="H3" s="3" t="inlineStr">
        <is>
          <t>8月</t>
        </is>
      </c>
      <c r="I3" s="3" t="inlineStr">
        <is>
          <t>9月</t>
        </is>
      </c>
      <c r="J3" s="3" t="inlineStr">
        <is>
          <t>10月</t>
        </is>
      </c>
      <c r="K3" s="3" t="inlineStr">
        <is>
          <t>11月</t>
        </is>
      </c>
      <c r="L3" s="3" t="inlineStr">
        <is>
          <t>12月</t>
        </is>
      </c>
      <c r="M3" s="3" t="inlineStr">
        <is>
          <t>1月</t>
        </is>
      </c>
      <c r="N3" s="3" t="inlineStr">
        <is>
          <t>2月</t>
        </is>
      </c>
    </row>
    <row r="5">
      <c r="A5" s="31" t="inlineStr">
        <is>
          <t>【計画】（P&amp;Lシート参照）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</row>
    <row r="6">
      <c r="A6" t="inlineStr">
        <is>
          <t>売上合計</t>
        </is>
      </c>
      <c r="B6" s="20">
        <f>SUM(C6:N6)</f>
        <v/>
      </c>
      <c r="C6" s="20">
        <f>'P&amp;L月次'!C32</f>
        <v/>
      </c>
      <c r="D6" s="20">
        <f>'P&amp;L月次'!D32</f>
        <v/>
      </c>
      <c r="E6" s="20">
        <f>'P&amp;L月次'!E32</f>
        <v/>
      </c>
      <c r="F6" s="20">
        <f>'P&amp;L月次'!F32</f>
        <v/>
      </c>
      <c r="G6" s="20">
        <f>'P&amp;L月次'!G32</f>
        <v/>
      </c>
      <c r="H6" s="20">
        <f>'P&amp;L月次'!H32</f>
        <v/>
      </c>
      <c r="I6" s="20">
        <f>'P&amp;L月次'!I32</f>
        <v/>
      </c>
      <c r="J6" s="20">
        <f>'P&amp;L月次'!J32</f>
        <v/>
      </c>
      <c r="K6" s="20">
        <f>'P&amp;L月次'!K32</f>
        <v/>
      </c>
      <c r="L6" s="20">
        <f>'P&amp;L月次'!L32</f>
        <v/>
      </c>
      <c r="M6" s="20">
        <f>'P&amp;L月次'!M32</f>
        <v/>
      </c>
      <c r="N6" s="20">
        <f>'P&amp;L月次'!N32</f>
        <v/>
      </c>
    </row>
    <row r="7">
      <c r="A7" t="inlineStr">
        <is>
          <t xml:space="preserve">  既存コンサル</t>
        </is>
      </c>
      <c r="B7" s="20">
        <f>SUM(C7:N7)</f>
        <v/>
      </c>
      <c r="C7" s="20">
        <f>'P&amp;L月次'!C10</f>
        <v/>
      </c>
      <c r="D7" s="20">
        <f>'P&amp;L月次'!D10</f>
        <v/>
      </c>
      <c r="E7" s="20">
        <f>'P&amp;L月次'!E10</f>
        <v/>
      </c>
      <c r="F7" s="20">
        <f>'P&amp;L月次'!F10</f>
        <v/>
      </c>
      <c r="G7" s="20">
        <f>'P&amp;L月次'!G10</f>
        <v/>
      </c>
      <c r="H7" s="20">
        <f>'P&amp;L月次'!H10</f>
        <v/>
      </c>
      <c r="I7" s="20">
        <f>'P&amp;L月次'!I10</f>
        <v/>
      </c>
      <c r="J7" s="20">
        <f>'P&amp;L月次'!J10</f>
        <v/>
      </c>
      <c r="K7" s="20">
        <f>'P&amp;L月次'!K10</f>
        <v/>
      </c>
      <c r="L7" s="20">
        <f>'P&amp;L月次'!L10</f>
        <v/>
      </c>
      <c r="M7" s="20">
        <f>'P&amp;L月次'!M10</f>
        <v/>
      </c>
      <c r="N7" s="20">
        <f>'P&amp;L月次'!N10</f>
        <v/>
      </c>
    </row>
    <row r="8">
      <c r="A8" t="inlineStr">
        <is>
          <t xml:space="preserve">  AI駆動開発</t>
        </is>
      </c>
      <c r="B8" s="20">
        <f>SUM(C8:N8)</f>
        <v/>
      </c>
      <c r="C8" s="20">
        <f>'P&amp;L月次'!C15</f>
        <v/>
      </c>
      <c r="D8" s="20">
        <f>'P&amp;L月次'!D15</f>
        <v/>
      </c>
      <c r="E8" s="20">
        <f>'P&amp;L月次'!E15</f>
        <v/>
      </c>
      <c r="F8" s="20">
        <f>'P&amp;L月次'!F15</f>
        <v/>
      </c>
      <c r="G8" s="20">
        <f>'P&amp;L月次'!G15</f>
        <v/>
      </c>
      <c r="H8" s="20">
        <f>'P&amp;L月次'!H15</f>
        <v/>
      </c>
      <c r="I8" s="20">
        <f>'P&amp;L月次'!I15</f>
        <v/>
      </c>
      <c r="J8" s="20">
        <f>'P&amp;L月次'!J15</f>
        <v/>
      </c>
      <c r="K8" s="20">
        <f>'P&amp;L月次'!K15</f>
        <v/>
      </c>
      <c r="L8" s="20">
        <f>'P&amp;L月次'!L15</f>
        <v/>
      </c>
      <c r="M8" s="20">
        <f>'P&amp;L月次'!M15</f>
        <v/>
      </c>
      <c r="N8" s="20">
        <f>'P&amp;L月次'!N15</f>
        <v/>
      </c>
    </row>
    <row r="9">
      <c r="A9" t="inlineStr">
        <is>
          <t xml:space="preserve">  中小DX</t>
        </is>
      </c>
      <c r="B9" s="20">
        <f>SUM(C9:N9)</f>
        <v/>
      </c>
      <c r="C9" s="20">
        <f>'P&amp;L月次'!C20</f>
        <v/>
      </c>
      <c r="D9" s="20">
        <f>'P&amp;L月次'!D20</f>
        <v/>
      </c>
      <c r="E9" s="20">
        <f>'P&amp;L月次'!E20</f>
        <v/>
      </c>
      <c r="F9" s="20">
        <f>'P&amp;L月次'!F20</f>
        <v/>
      </c>
      <c r="G9" s="20">
        <f>'P&amp;L月次'!G20</f>
        <v/>
      </c>
      <c r="H9" s="20">
        <f>'P&amp;L月次'!H20</f>
        <v/>
      </c>
      <c r="I9" s="20">
        <f>'P&amp;L月次'!I20</f>
        <v/>
      </c>
      <c r="J9" s="20">
        <f>'P&amp;L月次'!J20</f>
        <v/>
      </c>
      <c r="K9" s="20">
        <f>'P&amp;L月次'!K20</f>
        <v/>
      </c>
      <c r="L9" s="20">
        <f>'P&amp;L月次'!L20</f>
        <v/>
      </c>
      <c r="M9" s="20">
        <f>'P&amp;L月次'!M20</f>
        <v/>
      </c>
      <c r="N9" s="20">
        <f>'P&amp;L月次'!N20</f>
        <v/>
      </c>
    </row>
    <row r="10">
      <c r="A10" t="inlineStr">
        <is>
          <t xml:space="preserve">  Physical AI</t>
        </is>
      </c>
      <c r="B10" s="20">
        <f>SUM(C10:N10)</f>
        <v/>
      </c>
      <c r="C10" s="20">
        <f>'P&amp;L月次'!C25</f>
        <v/>
      </c>
      <c r="D10" s="20">
        <f>'P&amp;L月次'!D25</f>
        <v/>
      </c>
      <c r="E10" s="20">
        <f>'P&amp;L月次'!E25</f>
        <v/>
      </c>
      <c r="F10" s="20">
        <f>'P&amp;L月次'!F25</f>
        <v/>
      </c>
      <c r="G10" s="20">
        <f>'P&amp;L月次'!G25</f>
        <v/>
      </c>
      <c r="H10" s="20">
        <f>'P&amp;L月次'!H25</f>
        <v/>
      </c>
      <c r="I10" s="20">
        <f>'P&amp;L月次'!I25</f>
        <v/>
      </c>
      <c r="J10" s="20">
        <f>'P&amp;L月次'!J25</f>
        <v/>
      </c>
      <c r="K10" s="20">
        <f>'P&amp;L月次'!K25</f>
        <v/>
      </c>
      <c r="L10" s="20">
        <f>'P&amp;L月次'!L25</f>
        <v/>
      </c>
      <c r="M10" s="20">
        <f>'P&amp;L月次'!M25</f>
        <v/>
      </c>
      <c r="N10" s="20">
        <f>'P&amp;L月次'!N25</f>
        <v/>
      </c>
    </row>
    <row r="11">
      <c r="A11" t="inlineStr">
        <is>
          <t xml:space="preserve">  プロダクト</t>
        </is>
      </c>
      <c r="B11" s="20">
        <f>SUM(C11:N11)</f>
        <v/>
      </c>
      <c r="C11" s="20">
        <f>'P&amp;L月次'!C30</f>
        <v/>
      </c>
      <c r="D11" s="20">
        <f>'P&amp;L月次'!D30</f>
        <v/>
      </c>
      <c r="E11" s="20">
        <f>'P&amp;L月次'!E30</f>
        <v/>
      </c>
      <c r="F11" s="20">
        <f>'P&amp;L月次'!F30</f>
        <v/>
      </c>
      <c r="G11" s="20">
        <f>'P&amp;L月次'!G30</f>
        <v/>
      </c>
      <c r="H11" s="20">
        <f>'P&amp;L月次'!H30</f>
        <v/>
      </c>
      <c r="I11" s="20">
        <f>'P&amp;L月次'!I30</f>
        <v/>
      </c>
      <c r="J11" s="20">
        <f>'P&amp;L月次'!J30</f>
        <v/>
      </c>
      <c r="K11" s="20">
        <f>'P&amp;L月次'!K30</f>
        <v/>
      </c>
      <c r="L11" s="20">
        <f>'P&amp;L月次'!L30</f>
        <v/>
      </c>
      <c r="M11" s="20">
        <f>'P&amp;L月次'!M30</f>
        <v/>
      </c>
      <c r="N11" s="20">
        <f>'P&amp;L月次'!N30</f>
        <v/>
      </c>
    </row>
    <row r="12">
      <c r="A12" t="inlineStr">
        <is>
          <t>コスト合計</t>
        </is>
      </c>
      <c r="B12" s="20">
        <f>SUM(C12:N12)</f>
        <v/>
      </c>
      <c r="C12" s="20">
        <f>'P&amp;L月次'!C52</f>
        <v/>
      </c>
      <c r="D12" s="20">
        <f>'P&amp;L月次'!D52</f>
        <v/>
      </c>
      <c r="E12" s="20">
        <f>'P&amp;L月次'!E52</f>
        <v/>
      </c>
      <c r="F12" s="20">
        <f>'P&amp;L月次'!F52</f>
        <v/>
      </c>
      <c r="G12" s="20">
        <f>'P&amp;L月次'!G52</f>
        <v/>
      </c>
      <c r="H12" s="20">
        <f>'P&amp;L月次'!H52</f>
        <v/>
      </c>
      <c r="I12" s="20">
        <f>'P&amp;L月次'!I52</f>
        <v/>
      </c>
      <c r="J12" s="20">
        <f>'P&amp;L月次'!J52</f>
        <v/>
      </c>
      <c r="K12" s="20">
        <f>'P&amp;L月次'!K52</f>
        <v/>
      </c>
      <c r="L12" s="20">
        <f>'P&amp;L月次'!L52</f>
        <v/>
      </c>
      <c r="M12" s="20">
        <f>'P&amp;L月次'!M52</f>
        <v/>
      </c>
      <c r="N12" s="20">
        <f>'P&amp;L月次'!N52</f>
        <v/>
      </c>
    </row>
    <row r="13">
      <c r="A13" t="inlineStr">
        <is>
          <t>EBITDA</t>
        </is>
      </c>
      <c r="B13" s="20">
        <f>SUM(C13:N13)</f>
        <v/>
      </c>
      <c r="C13" s="20">
        <f>'P&amp;L月次'!C57</f>
        <v/>
      </c>
      <c r="D13" s="20">
        <f>'P&amp;L月次'!D57</f>
        <v/>
      </c>
      <c r="E13" s="20">
        <f>'P&amp;L月次'!E57</f>
        <v/>
      </c>
      <c r="F13" s="20">
        <f>'P&amp;L月次'!F57</f>
        <v/>
      </c>
      <c r="G13" s="20">
        <f>'P&amp;L月次'!G57</f>
        <v/>
      </c>
      <c r="H13" s="20">
        <f>'P&amp;L月次'!H57</f>
        <v/>
      </c>
      <c r="I13" s="20">
        <f>'P&amp;L月次'!I57</f>
        <v/>
      </c>
      <c r="J13" s="20">
        <f>'P&amp;L月次'!J57</f>
        <v/>
      </c>
      <c r="K13" s="20">
        <f>'P&amp;L月次'!K57</f>
        <v/>
      </c>
      <c r="L13" s="20">
        <f>'P&amp;L月次'!L57</f>
        <v/>
      </c>
      <c r="M13" s="20">
        <f>'P&amp;L月次'!M57</f>
        <v/>
      </c>
      <c r="N13" s="20">
        <f>'P&amp;L月次'!N57</f>
        <v/>
      </c>
    </row>
    <row r="14">
      <c r="A14" t="inlineStr">
        <is>
          <t>当期純利益</t>
        </is>
      </c>
      <c r="B14" s="20">
        <f>SUM(C14:N14)</f>
        <v/>
      </c>
      <c r="C14" s="20">
        <f>'P&amp;L月次'!C62</f>
        <v/>
      </c>
      <c r="D14" s="20">
        <f>'P&amp;L月次'!D62</f>
        <v/>
      </c>
      <c r="E14" s="20">
        <f>'P&amp;L月次'!E62</f>
        <v/>
      </c>
      <c r="F14" s="20">
        <f>'P&amp;L月次'!F62</f>
        <v/>
      </c>
      <c r="G14" s="20">
        <f>'P&amp;L月次'!G62</f>
        <v/>
      </c>
      <c r="H14" s="20">
        <f>'P&amp;L月次'!H62</f>
        <v/>
      </c>
      <c r="I14" s="20">
        <f>'P&amp;L月次'!I62</f>
        <v/>
      </c>
      <c r="J14" s="20">
        <f>'P&amp;L月次'!J62</f>
        <v/>
      </c>
      <c r="K14" s="20">
        <f>'P&amp;L月次'!K62</f>
        <v/>
      </c>
      <c r="L14" s="20">
        <f>'P&amp;L月次'!L62</f>
        <v/>
      </c>
      <c r="M14" s="20">
        <f>'P&amp;L月次'!M62</f>
        <v/>
      </c>
      <c r="N14" s="20">
        <f>'P&amp;L月次'!N62</f>
        <v/>
      </c>
    </row>
    <row r="16">
      <c r="A16" s="33" t="inlineStr">
        <is>
          <t>【実績】★入力</t>
        </is>
      </c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</row>
    <row r="17">
      <c r="A17" t="inlineStr">
        <is>
          <t>売上合計（実績）</t>
        </is>
      </c>
      <c r="B17" s="9">
        <f>SUM(C17:N17)</f>
        <v/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t="inlineStr">
        <is>
          <t xml:space="preserve">  既存コンサル</t>
        </is>
      </c>
      <c r="B18" s="9">
        <f>SUM(C18:N18)</f>
        <v/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t="inlineStr">
        <is>
          <t xml:space="preserve">  AI駆動開発</t>
        </is>
      </c>
      <c r="B19" s="9">
        <f>SUM(C19:N19)</f>
        <v/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t="inlineStr">
        <is>
          <t xml:space="preserve">  中小DX</t>
        </is>
      </c>
      <c r="B20" s="9">
        <f>SUM(C20:N20)</f>
        <v/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t="inlineStr">
        <is>
          <t xml:space="preserve">  Physical AI</t>
        </is>
      </c>
      <c r="B21" s="9">
        <f>SUM(C21:N21)</f>
        <v/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t="inlineStr">
        <is>
          <t xml:space="preserve">  プロダクト</t>
        </is>
      </c>
      <c r="B22" s="9">
        <f>SUM(C22:N22)</f>
        <v/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t="inlineStr">
        <is>
          <t>コスト合計（実績）</t>
        </is>
      </c>
      <c r="B23" s="9">
        <f>SUM(C23:N23)</f>
        <v/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t="inlineStr">
        <is>
          <t>EBITDA（実績）</t>
        </is>
      </c>
      <c r="B24" s="9">
        <f>SUM(C24:N24)</f>
        <v/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t="inlineStr">
        <is>
          <t>当期純利益（実績）</t>
        </is>
      </c>
      <c r="B25" s="9">
        <f>SUM(C25:N25)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7">
      <c r="A27" s="17" t="inlineStr">
        <is>
          <t>【差異】（実績−計画）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</row>
    <row r="28">
      <c r="A28" t="inlineStr">
        <is>
          <t>売上差異</t>
        </is>
      </c>
      <c r="B28" s="7">
        <f>SUM(C28:N28)</f>
        <v/>
      </c>
      <c r="C28" s="8">
        <f>C17-C6</f>
        <v/>
      </c>
      <c r="D28" s="8">
        <f>D17-D6</f>
        <v/>
      </c>
      <c r="E28" s="8">
        <f>E17-E6</f>
        <v/>
      </c>
      <c r="F28" s="8">
        <f>F17-F6</f>
        <v/>
      </c>
      <c r="G28" s="8">
        <f>G17-G6</f>
        <v/>
      </c>
      <c r="H28" s="8">
        <f>H17-H6</f>
        <v/>
      </c>
      <c r="I28" s="8">
        <f>I17-I6</f>
        <v/>
      </c>
      <c r="J28" s="8">
        <f>J17-J6</f>
        <v/>
      </c>
      <c r="K28" s="8">
        <f>K17-K6</f>
        <v/>
      </c>
      <c r="L28" s="8">
        <f>L17-L6</f>
        <v/>
      </c>
      <c r="M28" s="8">
        <f>M17-M6</f>
        <v/>
      </c>
      <c r="N28" s="8">
        <f>N17-N6</f>
        <v/>
      </c>
    </row>
    <row r="29">
      <c r="A29" t="inlineStr">
        <is>
          <t>コスト差異</t>
        </is>
      </c>
      <c r="B29" s="7">
        <f>SUM(C29:N29)</f>
        <v/>
      </c>
      <c r="C29" s="8">
        <f>C23-C12</f>
        <v/>
      </c>
      <c r="D29" s="8">
        <f>D23-D12</f>
        <v/>
      </c>
      <c r="E29" s="8">
        <f>E23-E12</f>
        <v/>
      </c>
      <c r="F29" s="8">
        <f>F23-F12</f>
        <v/>
      </c>
      <c r="G29" s="8">
        <f>G23-G12</f>
        <v/>
      </c>
      <c r="H29" s="8">
        <f>H23-H12</f>
        <v/>
      </c>
      <c r="I29" s="8">
        <f>I23-I12</f>
        <v/>
      </c>
      <c r="J29" s="8">
        <f>J23-J12</f>
        <v/>
      </c>
      <c r="K29" s="8">
        <f>K23-K12</f>
        <v/>
      </c>
      <c r="L29" s="8">
        <f>L23-L12</f>
        <v/>
      </c>
      <c r="M29" s="8">
        <f>M23-M12</f>
        <v/>
      </c>
      <c r="N29" s="8">
        <f>N23-N12</f>
        <v/>
      </c>
    </row>
    <row r="30">
      <c r="A30" t="inlineStr">
        <is>
          <t>EBITDA差異</t>
        </is>
      </c>
      <c r="B30" s="7">
        <f>SUM(C30:N30)</f>
        <v/>
      </c>
      <c r="C30" s="8">
        <f>C24-C13</f>
        <v/>
      </c>
      <c r="D30" s="8">
        <f>D24-D13</f>
        <v/>
      </c>
      <c r="E30" s="8">
        <f>E24-E13</f>
        <v/>
      </c>
      <c r="F30" s="8">
        <f>F24-F13</f>
        <v/>
      </c>
      <c r="G30" s="8">
        <f>G24-G13</f>
        <v/>
      </c>
      <c r="H30" s="8">
        <f>H24-H13</f>
        <v/>
      </c>
      <c r="I30" s="8">
        <f>I24-I13</f>
        <v/>
      </c>
      <c r="J30" s="8">
        <f>J24-J13</f>
        <v/>
      </c>
      <c r="K30" s="8">
        <f>K24-K13</f>
        <v/>
      </c>
      <c r="L30" s="8">
        <f>L24-L13</f>
        <v/>
      </c>
      <c r="M30" s="8">
        <f>M24-M13</f>
        <v/>
      </c>
      <c r="N30" s="8">
        <f>N24-N13</f>
        <v/>
      </c>
    </row>
    <row r="31">
      <c r="A31" t="inlineStr">
        <is>
          <t>純利益差異</t>
        </is>
      </c>
      <c r="B31" s="7">
        <f>SUM(C31:N31)</f>
        <v/>
      </c>
      <c r="C31" s="8">
        <f>C25-C14</f>
        <v/>
      </c>
      <c r="D31" s="8">
        <f>D25-D14</f>
        <v/>
      </c>
      <c r="E31" s="8">
        <f>E25-E14</f>
        <v/>
      </c>
      <c r="F31" s="8">
        <f>F25-F14</f>
        <v/>
      </c>
      <c r="G31" s="8">
        <f>G25-G14</f>
        <v/>
      </c>
      <c r="H31" s="8">
        <f>H25-H14</f>
        <v/>
      </c>
      <c r="I31" s="8">
        <f>I25-I14</f>
        <v/>
      </c>
      <c r="J31" s="8">
        <f>J25-J14</f>
        <v/>
      </c>
      <c r="K31" s="8">
        <f>K25-K14</f>
        <v/>
      </c>
      <c r="L31" s="8">
        <f>L25-L14</f>
        <v/>
      </c>
      <c r="M31" s="8">
        <f>M25-M14</f>
        <v/>
      </c>
      <c r="N31" s="8">
        <f>N25-N14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KPIツリー — 非財務指標トラッキング</t>
        </is>
      </c>
    </row>
    <row r="3">
      <c r="A3" s="3" t="inlineStr"/>
      <c r="B3" s="3" t="inlineStr">
        <is>
          <t>FY通期</t>
        </is>
      </c>
      <c r="C3" s="3" t="inlineStr">
        <is>
          <t>3月</t>
        </is>
      </c>
      <c r="D3" s="3" t="inlineStr">
        <is>
          <t>4月</t>
        </is>
      </c>
      <c r="E3" s="3" t="inlineStr">
        <is>
          <t>5月</t>
        </is>
      </c>
      <c r="F3" s="3" t="inlineStr">
        <is>
          <t>6月</t>
        </is>
      </c>
      <c r="G3" s="3" t="inlineStr">
        <is>
          <t>7月</t>
        </is>
      </c>
      <c r="H3" s="3" t="inlineStr">
        <is>
          <t>8月</t>
        </is>
      </c>
      <c r="I3" s="3" t="inlineStr">
        <is>
          <t>9月</t>
        </is>
      </c>
      <c r="J3" s="3" t="inlineStr">
        <is>
          <t>10月</t>
        </is>
      </c>
      <c r="K3" s="3" t="inlineStr">
        <is>
          <t>11月</t>
        </is>
      </c>
      <c r="L3" s="3" t="inlineStr">
        <is>
          <t>12月</t>
        </is>
      </c>
      <c r="M3" s="3" t="inlineStr">
        <is>
          <t>1月</t>
        </is>
      </c>
      <c r="N3" s="3" t="inlineStr">
        <is>
          <t>2月</t>
        </is>
      </c>
    </row>
    <row r="5">
      <c r="A5" s="4" t="inlineStr">
        <is>
          <t>【起点指標】</t>
        </is>
      </c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</row>
    <row r="6">
      <c r="A6" t="inlineStr">
        <is>
          <t>DM送付数（通）【計画】</t>
        </is>
      </c>
      <c r="B6">
        <f>SUM(C6:N6)</f>
        <v/>
      </c>
      <c r="C6" s="24" t="n">
        <v>0</v>
      </c>
      <c r="D6" s="24" t="n">
        <v>0</v>
      </c>
      <c r="E6" s="24" t="n">
        <v>30</v>
      </c>
      <c r="F6" s="24" t="n">
        <v>30</v>
      </c>
      <c r="G6" s="24" t="n">
        <v>20</v>
      </c>
      <c r="H6" s="24" t="n">
        <v>20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  <c r="N6" s="24" t="n">
        <v>0</v>
      </c>
    </row>
    <row r="7">
      <c r="A7" t="inlineStr">
        <is>
          <t>DM送付数（通）【実績】★</t>
        </is>
      </c>
      <c r="B7">
        <f>SUM(C7:N7)</f>
        <v/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</row>
    <row r="8">
      <c r="A8" t="inlineStr">
        <is>
          <t>技術記事公開数（本）【計画】</t>
        </is>
      </c>
      <c r="B8">
        <f>SUM(C8:N8)</f>
        <v/>
      </c>
      <c r="C8" s="24" t="n">
        <v>2</v>
      </c>
      <c r="D8" s="24" t="n">
        <v>2</v>
      </c>
      <c r="E8" s="24" t="n">
        <v>2</v>
      </c>
      <c r="F8" s="24" t="n">
        <v>2</v>
      </c>
      <c r="G8" s="24" t="n">
        <v>2</v>
      </c>
      <c r="H8" s="24" t="n">
        <v>2</v>
      </c>
      <c r="I8" s="24" t="n">
        <v>2</v>
      </c>
      <c r="J8" s="24" t="n">
        <v>2</v>
      </c>
      <c r="K8" s="24" t="n">
        <v>2</v>
      </c>
      <c r="L8" s="24" t="n">
        <v>2</v>
      </c>
      <c r="M8" s="24" t="n">
        <v>2</v>
      </c>
      <c r="N8" s="24" t="n">
        <v>2</v>
      </c>
    </row>
    <row r="9">
      <c r="A9" t="inlineStr">
        <is>
          <t>技術記事公開数（本）【実績】★</t>
        </is>
      </c>
      <c r="B9">
        <f>SUM(C9:N9)</f>
        <v/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</row>
    <row r="10">
      <c r="A10" t="inlineStr">
        <is>
          <t>展示会出展【計画】</t>
        </is>
      </c>
      <c r="B10">
        <f>SUM(C10:N10)</f>
        <v/>
      </c>
      <c r="C10" s="24" t="n">
        <v>0</v>
      </c>
      <c r="D10" s="24" t="n">
        <v>0</v>
      </c>
      <c r="E10" s="24" t="n">
        <v>0</v>
      </c>
      <c r="F10" s="24" t="n">
        <v>0</v>
      </c>
      <c r="G10" s="24" t="n">
        <v>1</v>
      </c>
      <c r="H10" s="24" t="n">
        <v>0</v>
      </c>
      <c r="I10" s="24" t="n">
        <v>0</v>
      </c>
      <c r="J10" s="24" t="n">
        <v>1</v>
      </c>
      <c r="K10" s="24" t="n">
        <v>0</v>
      </c>
      <c r="L10" s="24" t="n">
        <v>0</v>
      </c>
      <c r="M10" s="24" t="n">
        <v>0</v>
      </c>
      <c r="N10" s="24" t="n">
        <v>0</v>
      </c>
    </row>
    <row r="11">
      <c r="A11" t="inlineStr">
        <is>
          <t>展示会出展【実績】★</t>
        </is>
      </c>
      <c r="B11">
        <f>SUM(C11:N11)</f>
        <v/>
      </c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</row>
    <row r="12">
      <c r="A12" s="4" t="inlineStr">
        <is>
          <t>【中間指標】</t>
        </is>
      </c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</row>
    <row r="13">
      <c r="A13" t="inlineStr">
        <is>
          <t>税理士面談数（件）【計画】</t>
        </is>
      </c>
      <c r="B13">
        <f>SUM(C13:N13)</f>
        <v/>
      </c>
      <c r="C13" s="24" t="n">
        <v>0</v>
      </c>
      <c r="D13" s="24" t="n">
        <v>0</v>
      </c>
      <c r="E13" s="24" t="n">
        <v>0</v>
      </c>
      <c r="F13" s="24" t="n">
        <v>1</v>
      </c>
      <c r="G13" s="24" t="n">
        <v>1</v>
      </c>
      <c r="H13" s="24" t="n">
        <v>1</v>
      </c>
      <c r="I13" s="24" t="n">
        <v>1</v>
      </c>
      <c r="J13" s="24" t="n">
        <v>1</v>
      </c>
      <c r="K13" s="24" t="n">
        <v>0</v>
      </c>
      <c r="L13" s="24" t="n">
        <v>0</v>
      </c>
      <c r="M13" s="24" t="n">
        <v>0</v>
      </c>
      <c r="N13" s="24" t="n">
        <v>0</v>
      </c>
    </row>
    <row r="14">
      <c r="A14" t="inlineStr">
        <is>
          <t>税理士面談数（件）【実績】★</t>
        </is>
      </c>
      <c r="B14">
        <f>SUM(C14:N14)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</row>
    <row r="15">
      <c r="A15" t="inlineStr">
        <is>
          <t>問合せ件数【計画】</t>
        </is>
      </c>
      <c r="B15">
        <f>SUM(C15:N15)</f>
        <v/>
      </c>
      <c r="C15" s="24" t="n">
        <v>1</v>
      </c>
      <c r="D15" s="24" t="n">
        <v>1</v>
      </c>
      <c r="E15" s="24" t="n">
        <v>2</v>
      </c>
      <c r="F15" s="24" t="n">
        <v>2</v>
      </c>
      <c r="G15" s="24" t="n">
        <v>3</v>
      </c>
      <c r="H15" s="24" t="n">
        <v>3</v>
      </c>
      <c r="I15" s="24" t="n">
        <v>3</v>
      </c>
      <c r="J15" s="24" t="n">
        <v>3</v>
      </c>
      <c r="K15" s="24" t="n">
        <v>3</v>
      </c>
      <c r="L15" s="24" t="n">
        <v>3</v>
      </c>
      <c r="M15" s="24" t="n">
        <v>2</v>
      </c>
      <c r="N15" s="24" t="n">
        <v>2</v>
      </c>
    </row>
    <row r="16">
      <c r="A16" t="inlineStr">
        <is>
          <t>問合せ件数【実績】★</t>
        </is>
      </c>
      <c r="B16">
        <f>SUM(C16:N16)</f>
        <v/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</row>
    <row r="17">
      <c r="A17" t="inlineStr">
        <is>
          <t>展示会リード数【計画】</t>
        </is>
      </c>
      <c r="B17">
        <f>SUM(C17:N17)</f>
        <v/>
      </c>
      <c r="C17" s="24" t="n">
        <v>0</v>
      </c>
      <c r="D17" s="24" t="n">
        <v>0</v>
      </c>
      <c r="E17" s="24" t="n">
        <v>0</v>
      </c>
      <c r="F17" s="24" t="n">
        <v>0</v>
      </c>
      <c r="G17" s="24" t="n">
        <v>60</v>
      </c>
      <c r="H17" s="24" t="n">
        <v>0</v>
      </c>
      <c r="I17" s="24" t="n">
        <v>0</v>
      </c>
      <c r="J17" s="24" t="n">
        <v>50</v>
      </c>
      <c r="K17" s="24" t="n">
        <v>0</v>
      </c>
      <c r="L17" s="24" t="n">
        <v>0</v>
      </c>
      <c r="M17" s="24" t="n">
        <v>0</v>
      </c>
      <c r="N17" s="24" t="n">
        <v>0</v>
      </c>
    </row>
    <row r="18">
      <c r="A18" t="inlineStr">
        <is>
          <t>展示会リード数【実績】★</t>
        </is>
      </c>
      <c r="B18">
        <f>SUM(C18:N18)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</row>
    <row r="19">
      <c r="A19" t="inlineStr">
        <is>
          <t>商談数【計画】</t>
        </is>
      </c>
      <c r="B19">
        <f>SUM(C19:N19)</f>
        <v/>
      </c>
      <c r="C19" s="24" t="n">
        <v>0</v>
      </c>
      <c r="D19" s="24" t="n">
        <v>1</v>
      </c>
      <c r="E19" s="24" t="n">
        <v>1</v>
      </c>
      <c r="F19" s="24" t="n">
        <v>2</v>
      </c>
      <c r="G19" s="24" t="n">
        <v>3</v>
      </c>
      <c r="H19" s="24" t="n">
        <v>3</v>
      </c>
      <c r="I19" s="24" t="n">
        <v>3</v>
      </c>
      <c r="J19" s="24" t="n">
        <v>4</v>
      </c>
      <c r="K19" s="24" t="n">
        <v>3</v>
      </c>
      <c r="L19" s="24" t="n">
        <v>3</v>
      </c>
      <c r="M19" s="24" t="n">
        <v>2</v>
      </c>
      <c r="N19" s="24" t="n">
        <v>2</v>
      </c>
    </row>
    <row r="20">
      <c r="A20" t="inlineStr">
        <is>
          <t>商談数【実績】★</t>
        </is>
      </c>
      <c r="B20">
        <f>SUM(C20:N20)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</row>
    <row r="21">
      <c r="A21" s="4" t="inlineStr">
        <is>
          <t>【結果指標】</t>
        </is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</row>
    <row r="22">
      <c r="A22" t="inlineStr">
        <is>
          <t>新規契約社数（累計）【計画】</t>
        </is>
      </c>
      <c r="B22">
        <f>SUM(C22:N22)</f>
        <v/>
      </c>
      <c r="C22" s="24" t="n">
        <v>1</v>
      </c>
      <c r="D22" s="24" t="n">
        <v>1</v>
      </c>
      <c r="E22" s="24" t="n">
        <v>1</v>
      </c>
      <c r="F22" s="24" t="n">
        <v>3</v>
      </c>
      <c r="G22" s="24" t="n">
        <v>5</v>
      </c>
      <c r="H22" s="24" t="n">
        <v>7</v>
      </c>
      <c r="I22" s="24" t="n">
        <v>9</v>
      </c>
      <c r="J22" s="24" t="n">
        <v>11</v>
      </c>
      <c r="K22" s="24" t="n">
        <v>13</v>
      </c>
      <c r="L22" s="24" t="n">
        <v>15</v>
      </c>
      <c r="M22" s="24" t="n">
        <v>15</v>
      </c>
      <c r="N22" s="24" t="n">
        <v>15</v>
      </c>
    </row>
    <row r="23">
      <c r="A23" t="inlineStr">
        <is>
          <t>新規契約社数（累計）【実績】★</t>
        </is>
      </c>
      <c r="B23">
        <f>SUM(C23:N23)</f>
        <v/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</row>
    <row r="24">
      <c r="A24" t="inlineStr">
        <is>
          <t>新規売上（万円）【計画】</t>
        </is>
      </c>
      <c r="B24">
        <f>SUM(C24:N24)</f>
        <v/>
      </c>
      <c r="C24" s="37">
        <f>'P&amp;L月次'!C32-'P&amp;L月次'!C10</f>
        <v/>
      </c>
      <c r="D24" s="37">
        <f>'P&amp;L月次'!D32-'P&amp;L月次'!D10</f>
        <v/>
      </c>
      <c r="E24" s="37">
        <f>'P&amp;L月次'!E32-'P&amp;L月次'!E10</f>
        <v/>
      </c>
      <c r="F24" s="37">
        <f>'P&amp;L月次'!F32-'P&amp;L月次'!F10</f>
        <v/>
      </c>
      <c r="G24" s="37">
        <f>'P&amp;L月次'!G32-'P&amp;L月次'!G10</f>
        <v/>
      </c>
      <c r="H24" s="37">
        <f>'P&amp;L月次'!H32-'P&amp;L月次'!H10</f>
        <v/>
      </c>
      <c r="I24" s="37">
        <f>'P&amp;L月次'!I32-'P&amp;L月次'!I10</f>
        <v/>
      </c>
      <c r="J24" s="37">
        <f>'P&amp;L月次'!J32-'P&amp;L月次'!J10</f>
        <v/>
      </c>
      <c r="K24" s="37">
        <f>'P&amp;L月次'!K32-'P&amp;L月次'!K10</f>
        <v/>
      </c>
      <c r="L24" s="37">
        <f>'P&amp;L月次'!L32-'P&amp;L月次'!L10</f>
        <v/>
      </c>
      <c r="M24" s="37">
        <f>'P&amp;L月次'!M32-'P&amp;L月次'!M10</f>
        <v/>
      </c>
      <c r="N24" s="37">
        <f>'P&amp;L月次'!N32-'P&amp;L月次'!N10</f>
        <v/>
      </c>
    </row>
    <row r="25">
      <c r="A25" t="inlineStr">
        <is>
          <t>新規売上（万円）【実績】★</t>
        </is>
      </c>
      <c r="B25">
        <f>SUM(C25:N25)</f>
        <v/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CF計画 — キャッシュフロー月次</t>
        </is>
      </c>
    </row>
    <row r="2">
      <c r="A2" s="2" t="inlineStr">
        <is>
          <t>起点: 5月末 ¥100万（税金等支払後）</t>
        </is>
      </c>
    </row>
    <row r="4">
      <c r="A4" s="3" t="inlineStr"/>
      <c r="B4" s="3" t="inlineStr">
        <is>
          <t>FY通期</t>
        </is>
      </c>
      <c r="C4" s="3" t="inlineStr">
        <is>
          <t>3月</t>
        </is>
      </c>
      <c r="D4" s="3" t="inlineStr">
        <is>
          <t>4月</t>
        </is>
      </c>
      <c r="E4" s="3" t="inlineStr">
        <is>
          <t>5月</t>
        </is>
      </c>
      <c r="F4" s="3" t="inlineStr">
        <is>
          <t>6月</t>
        </is>
      </c>
      <c r="G4" s="3" t="inlineStr">
        <is>
          <t>7月</t>
        </is>
      </c>
      <c r="H4" s="3" t="inlineStr">
        <is>
          <t>8月</t>
        </is>
      </c>
      <c r="I4" s="3" t="inlineStr">
        <is>
          <t>9月</t>
        </is>
      </c>
      <c r="J4" s="3" t="inlineStr">
        <is>
          <t>10月</t>
        </is>
      </c>
      <c r="K4" s="3" t="inlineStr">
        <is>
          <t>11月</t>
        </is>
      </c>
      <c r="L4" s="3" t="inlineStr">
        <is>
          <t>12月</t>
        </is>
      </c>
      <c r="M4" s="3" t="inlineStr">
        <is>
          <t>1月</t>
        </is>
      </c>
      <c r="N4" s="3" t="inlineStr">
        <is>
          <t>2月</t>
        </is>
      </c>
    </row>
    <row r="6">
      <c r="A6" s="21" t="inlineStr">
        <is>
          <t>期首現預金</t>
        </is>
      </c>
      <c r="B6" s="7" t="n"/>
      <c r="C6" s="38" t="n">
        <v>0</v>
      </c>
      <c r="D6" s="38" t="n">
        <v>0</v>
      </c>
      <c r="E6" s="38" t="n">
        <v>100</v>
      </c>
      <c r="F6" s="8">
        <f>E18</f>
        <v/>
      </c>
      <c r="G6" s="8">
        <f>F18</f>
        <v/>
      </c>
      <c r="H6" s="8">
        <f>G18</f>
        <v/>
      </c>
      <c r="I6" s="8">
        <f>H18</f>
        <v/>
      </c>
      <c r="J6" s="8">
        <f>I18</f>
        <v/>
      </c>
      <c r="K6" s="8">
        <f>J18</f>
        <v/>
      </c>
      <c r="L6" s="8">
        <f>K18</f>
        <v/>
      </c>
      <c r="M6" s="8">
        <f>L18</f>
        <v/>
      </c>
      <c r="N6" s="8">
        <f>M18</f>
        <v/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4" t="inlineStr">
        <is>
          <t>【営業CF】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t="inlineStr">
        <is>
          <t>入金（売上）</t>
        </is>
      </c>
      <c r="B9" s="7">
        <f>SUM(C9:N9)</f>
        <v/>
      </c>
      <c r="C9" s="20">
        <f>'P&amp;L月次'!C32</f>
        <v/>
      </c>
      <c r="D9" s="20">
        <f>'P&amp;L月次'!D32</f>
        <v/>
      </c>
      <c r="E9" s="20">
        <f>'P&amp;L月次'!E32</f>
        <v/>
      </c>
      <c r="F9" s="20">
        <f>'P&amp;L月次'!F32</f>
        <v/>
      </c>
      <c r="G9" s="20">
        <f>'P&amp;L月次'!G32</f>
        <v/>
      </c>
      <c r="H9" s="20">
        <f>'P&amp;L月次'!H32</f>
        <v/>
      </c>
      <c r="I9" s="20">
        <f>'P&amp;L月次'!I32</f>
        <v/>
      </c>
      <c r="J9" s="20">
        <f>'P&amp;L月次'!J32</f>
        <v/>
      </c>
      <c r="K9" s="20">
        <f>'P&amp;L月次'!K32</f>
        <v/>
      </c>
      <c r="L9" s="20">
        <f>'P&amp;L月次'!L32</f>
        <v/>
      </c>
      <c r="M9" s="20">
        <f>'P&amp;L月次'!M32</f>
        <v/>
      </c>
      <c r="N9" s="20">
        <f>'P&amp;L月次'!N32</f>
        <v/>
      </c>
    </row>
    <row r="10">
      <c r="A10" t="inlineStr">
        <is>
          <t>出金（コスト）</t>
        </is>
      </c>
      <c r="B10" s="7">
        <f>SUM(C10:N10)</f>
        <v/>
      </c>
      <c r="C10" s="20">
        <f>-'P&amp;L月次'!C52</f>
        <v/>
      </c>
      <c r="D10" s="20">
        <f>-'P&amp;L月次'!D52</f>
        <v/>
      </c>
      <c r="E10" s="20">
        <f>-'P&amp;L月次'!E52</f>
        <v/>
      </c>
      <c r="F10" s="20">
        <f>-'P&amp;L月次'!F52</f>
        <v/>
      </c>
      <c r="G10" s="20">
        <f>-'P&amp;L月次'!G52</f>
        <v/>
      </c>
      <c r="H10" s="20">
        <f>-'P&amp;L月次'!H52</f>
        <v/>
      </c>
      <c r="I10" s="20">
        <f>-'P&amp;L月次'!I52</f>
        <v/>
      </c>
      <c r="J10" s="20">
        <f>-'P&amp;L月次'!J52</f>
        <v/>
      </c>
      <c r="K10" s="20">
        <f>-'P&amp;L月次'!K52</f>
        <v/>
      </c>
      <c r="L10" s="20">
        <f>-'P&amp;L月次'!L52</f>
        <v/>
      </c>
      <c r="M10" s="20">
        <f>-'P&amp;L月次'!M52</f>
        <v/>
      </c>
      <c r="N10" s="20">
        <f>-'P&amp;L月次'!N52</f>
        <v/>
      </c>
    </row>
    <row r="11">
      <c r="A11" t="inlineStr">
        <is>
          <t>法人税・消費税（★入力）</t>
        </is>
      </c>
      <c r="B11" s="7">
        <f>SUM(C11:N11)</f>
        <v/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-200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-200</v>
      </c>
    </row>
    <row r="12">
      <c r="A12" t="inlineStr">
        <is>
          <t>売掛金変動（★入力）</t>
        </is>
      </c>
      <c r="B12" s="7">
        <f>SUM(C12:N12)</f>
        <v/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</row>
    <row r="13">
      <c r="A13" s="6" t="inlineStr">
        <is>
          <t>営業CF小計</t>
        </is>
      </c>
      <c r="B13" s="10">
        <f>SUM(C13:N13)</f>
        <v/>
      </c>
      <c r="C13" s="10">
        <f>C9+C10+C11+C12</f>
        <v/>
      </c>
      <c r="D13" s="10">
        <f>D9+D10+D11+D12</f>
        <v/>
      </c>
      <c r="E13" s="10">
        <f>E9+E10+E11+E12</f>
        <v/>
      </c>
      <c r="F13" s="10">
        <f>F9+F10+F11+F12</f>
        <v/>
      </c>
      <c r="G13" s="10">
        <f>G9+G10+G11+G12</f>
        <v/>
      </c>
      <c r="H13" s="10">
        <f>H9+H10+H11+H12</f>
        <v/>
      </c>
      <c r="I13" s="10">
        <f>I9+I10+I11+I12</f>
        <v/>
      </c>
      <c r="J13" s="10">
        <f>J9+J10+J11+J12</f>
        <v/>
      </c>
      <c r="K13" s="10">
        <f>K9+K10+K11+K12</f>
        <v/>
      </c>
      <c r="L13" s="10">
        <f>L9+L10+L11+L12</f>
        <v/>
      </c>
      <c r="M13" s="10">
        <f>M9+M10+M11+M12</f>
        <v/>
      </c>
      <c r="N13" s="10">
        <f>N9+N10+N11+N12</f>
        <v/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4" t="inlineStr">
        <is>
          <t>【投資CF】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t="inlineStr">
        <is>
          <t>設備投資・HW購入（★入力）</t>
        </is>
      </c>
      <c r="B16" s="7">
        <f>SUM(C16:N16)</f>
        <v/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-30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-30</v>
      </c>
      <c r="M16" s="9" t="n">
        <v>0</v>
      </c>
      <c r="N16" s="9" t="n">
        <v>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26" t="inlineStr">
        <is>
          <t>期末現預金</t>
        </is>
      </c>
      <c r="B18" s="27">
        <f>N18</f>
        <v/>
      </c>
      <c r="C18" s="28">
        <f>C6+C13+C16</f>
        <v/>
      </c>
      <c r="D18" s="28">
        <f>D6+D13+D16</f>
        <v/>
      </c>
      <c r="E18" s="28">
        <f>E6+E13+E16</f>
        <v/>
      </c>
      <c r="F18" s="28">
        <f>F6+F13+F16</f>
        <v/>
      </c>
      <c r="G18" s="28">
        <f>G6+G13+G16</f>
        <v/>
      </c>
      <c r="H18" s="28">
        <f>H6+H13+H16</f>
        <v/>
      </c>
      <c r="I18" s="28">
        <f>I6+I13+I16</f>
        <v/>
      </c>
      <c r="J18" s="28">
        <f>J6+J13+J16</f>
        <v/>
      </c>
      <c r="K18" s="28">
        <f>K6+K13+K16</f>
        <v/>
      </c>
      <c r="L18" s="28">
        <f>L6+L13+L16</f>
        <v/>
      </c>
      <c r="M18" s="28">
        <f>M6+M13+M16</f>
        <v/>
      </c>
      <c r="N18" s="28">
        <f>N6+N13+N16</f>
        <v/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39" t="inlineStr">
        <is>
          <t>最低現預金ライン（目安）</t>
        </is>
      </c>
      <c r="B20" s="7" t="n"/>
      <c r="C20" s="40" t="n">
        <v>100</v>
      </c>
      <c r="D20" s="40" t="n">
        <v>100</v>
      </c>
      <c r="E20" s="40" t="n">
        <v>100</v>
      </c>
      <c r="F20" s="40" t="n">
        <v>100</v>
      </c>
      <c r="G20" s="40" t="n">
        <v>100</v>
      </c>
      <c r="H20" s="40" t="n">
        <v>100</v>
      </c>
      <c r="I20" s="40" t="n">
        <v>100</v>
      </c>
      <c r="J20" s="40" t="n">
        <v>100</v>
      </c>
      <c r="K20" s="40" t="n">
        <v>100</v>
      </c>
      <c r="L20" s="40" t="n">
        <v>100</v>
      </c>
      <c r="M20" s="40" t="n">
        <v>100</v>
      </c>
      <c r="N20" s="40" t="n">
        <v>100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2026-03-11T23:52:20Z</dcterms:created>
  <dcterms:modified xmlns:dcterms="http://purl.org/dc/terms/" xmlns:xsi="http://www.w3.org/2001/XMLSchema-instance" xsi:type="dcterms:W3CDTF">2026-03-11T23:52:20Z</dcterms:modified>
</cp:coreProperties>
</file>